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ays\Downloads\"/>
    </mc:Choice>
  </mc:AlternateContent>
  <xr:revisionPtr revIDLastSave="0" documentId="8_{E09F305F-E014-4463-8917-DB23A036BE2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ARN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81" i="1" l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780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695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13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534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373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292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05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11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026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935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842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748" i="1"/>
  <c r="A740" i="1"/>
  <c r="A741" i="1"/>
  <c r="A742" i="1"/>
  <c r="A743" i="1"/>
  <c r="A744" i="1"/>
  <c r="A745" i="1"/>
  <c r="A746" i="1"/>
  <c r="A747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655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561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46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374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281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188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94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2" i="1"/>
</calcChain>
</file>

<file path=xl/sharedStrings.xml><?xml version="1.0" encoding="utf-8"?>
<sst xmlns="http://schemas.openxmlformats.org/spreadsheetml/2006/main" count="1870" uniqueCount="143">
  <si>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</si>
  <si>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</si>
  <si>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</si>
  <si>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</si>
  <si>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</si>
  <si>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</si>
  <si>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</si>
  <si>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</si>
  <si>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</si>
  <si>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</si>
  <si>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</si>
  <si>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</si>
  <si>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</si>
  <si>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</si>
  <si>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</si>
  <si>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</si>
  <si>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</si>
  <si>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</si>
  <si>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</si>
  <si>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</si>
  <si>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</si>
  <si>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</si>
  <si>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</si>
  <si>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</si>
  <si>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</si>
  <si>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</si>
  <si>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</si>
  <si>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</si>
  <si>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</si>
  <si>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RBL BANK LTD</t>
  </si>
  <si>
    <t>SOUTH INDIAN BANK LTD</t>
  </si>
  <si>
    <t>TAMILNAD MERCANTILE BANK LTD</t>
  </si>
  <si>
    <t>YES BANK LTD.</t>
  </si>
  <si>
    <t>AB BANK PLC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</si>
  <si>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</si>
  <si>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</si>
  <si>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</si>
  <si>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</si>
  <si>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</si>
  <si>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</si>
  <si>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</si>
  <si>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</si>
  <si>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</si>
  <si>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</si>
  <si>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</si>
  <si>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</si>
  <si>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</si>
  <si>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</si>
  <si>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</si>
  <si>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</si>
  <si>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</si>
  <si>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</si>
  <si>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</si>
  <si>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</si>
  <si>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</si>
  <si>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</si>
  <si>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</si>
  <si>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</si>
  <si>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</si>
  <si>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</si>
  <si>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</si>
  <si>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</si>
  <si>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</si>
  <si>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</si>
  <si>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</si>
  <si>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</si>
  <si>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</si>
  <si>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</si>
  <si>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</si>
  <si>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</si>
  <si>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</si>
  <si>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</si>
  <si>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</si>
  <si>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</si>
  <si>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</si>
  <si>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</si>
  <si>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</si>
  <si>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</si>
  <si>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</si>
  <si>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</si>
  <si>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</si>
  <si>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</si>
  <si>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</si>
  <si>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</si>
  <si>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</si>
  <si>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</si>
  <si>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</si>
  <si>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</si>
  <si>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AIRTEL PAYMENTS BANK LIMITED</t>
  </si>
  <si>
    <t>FINO PAYMENTS BANK LIMITED</t>
  </si>
  <si>
    <t>INDIA POST PAYMENTS BANK LIMITED</t>
  </si>
  <si>
    <t>PAYTM PAYMENTS BANK LIMITED</t>
  </si>
  <si>
    <t>AB BANK LIMITED</t>
  </si>
  <si>
    <t>CREDIT SUISSE AG</t>
  </si>
  <si>
    <t>KRUNG THAI BANK PUBLIC COMPANY LIMITED</t>
  </si>
  <si>
    <t>SONALI BANK</t>
  </si>
  <si>
    <t>FINCARE SMALL FINANCE BANK LIMITED</t>
  </si>
  <si>
    <t>ABU DHABI COMMERCIAL BANK PJSC</t>
  </si>
  <si>
    <t>HONGKONG AND SHANGHAI BANKING CORPN.LTD.</t>
  </si>
  <si>
    <t>THE ROYAL BANK OF SCOTLAND N.V.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</si>
  <si>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</si>
  <si>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</si>
  <si>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</si>
  <si>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</si>
  <si>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</si>
  <si>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</si>
  <si>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LAKSHMI VILAS BANK LTD</t>
  </si>
  <si>
    <t>WESTPAC BANKING CORPORATION</t>
  </si>
  <si>
    <t>DENA BANK</t>
  </si>
  <si>
    <t>VIJAYA BANK</t>
  </si>
  <si>
    <t>NATIONAL AUSTRALIA BANK</t>
  </si>
  <si>
    <t>IDFC BANK LIMITED</t>
  </si>
  <si>
    <t>STATE BANK OF BIKANER AND JAIPUR</t>
  </si>
  <si>
    <t>STATE BANK OF HYDERABAD</t>
  </si>
  <si>
    <t>STATE BANK OF MYSORE</t>
  </si>
  <si>
    <t>STATE BANK OF PATIALA</t>
  </si>
  <si>
    <t>STATE BANK OF TRAVANCORE</t>
  </si>
  <si>
    <t>BHARATIYA MAHILA BANK LTD.</t>
  </si>
  <si>
    <t>COMMONWEALTH BANK OF AUSTRALIA</t>
  </si>
  <si>
    <t>KBC BANK N.V.</t>
  </si>
  <si>
    <t>ING VYSYA BANK LTD</t>
  </si>
  <si>
    <t>HSBC BANK OMAN S.A.O.G.</t>
  </si>
  <si>
    <t>SBI COMMERCIAL &amp; INTERNATIONAL BANK LTD</t>
  </si>
  <si>
    <t>STATE BANK OF INDORE</t>
  </si>
  <si>
    <t>BANK OF RAJASTHAN LTD</t>
  </si>
  <si>
    <t>THE ROYAL BANK OF SCOTLAND PLC</t>
  </si>
  <si>
    <t>STATE BANK OF SAURASHTRA</t>
  </si>
  <si>
    <t>IDBI LIMITED</t>
  </si>
  <si>
    <t>CENTURION BANK OF PUNJAB LTD.</t>
  </si>
  <si>
    <t>LORD KRISHNA BANK LTD</t>
  </si>
  <si>
    <t>SANGLI BANK LTD</t>
  </si>
  <si>
    <t>AMERICAN EXPRESS BANK LTD</t>
  </si>
  <si>
    <t>KBC BANK NV</t>
  </si>
  <si>
    <t>BHARAT OVERSEAS BANK LTD</t>
  </si>
  <si>
    <t>GANESH BANK OF KURUNDWAD LTD</t>
  </si>
  <si>
    <t>UNITED WESTERN BANK LTD</t>
  </si>
  <si>
    <t>BANK OF PUNJAB LIMITED</t>
  </si>
  <si>
    <t>ING BANK N.V.</t>
  </si>
  <si>
    <t>UFJ BANK LTD</t>
  </si>
  <si>
    <t>interest_income</t>
  </si>
  <si>
    <t>net_profit</t>
  </si>
  <si>
    <t>year</t>
  </si>
  <si>
    <t>bank_name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</si>
</sst>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333333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rgb="FFD7EA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2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left" wrapText="1"/>
    </xf>
    <xf numFmtId="4" fontId="1" fillId="5" borderId="0" xfId="0" applyNumberFormat="1" applyFont="1" applyFill="1" applyAlignment="1">
      <alignment horizontal="right"/>
    </xf>
    <xf numFmtId="4" fontId="1" fillId="5" borderId="4" xfId="0" applyNumberFormat="1" applyFont="1" applyFill="1" applyBorder="1" applyAlignment="1">
      <alignment horizontal="right"/>
    </xf>
    <xf numFmtId="4" fontId="1" fillId="2" borderId="0" xfId="0" applyNumberFormat="1" applyFont="1" applyFill="1" applyAlignment="1">
      <alignment horizontal="right"/>
    </xf>
    <xf numFmtId="4" fontId="1" fillId="2" borderId="4" xfId="0" applyNumberFormat="1" applyFont="1" applyFill="1" applyBorder="1" applyAlignment="1">
      <alignment horizontal="right"/>
    </xf>
    <xf numFmtId="1" fontId="3" fillId="4" borderId="1" xfId="0" applyNumberFormat="1" applyFont="1" applyFill="1" applyBorder="1" applyAlignment="1">
      <alignment horizontal="left" vertical="center"/>
    </xf>
    <xf numFmtId="14" fontId="2" fillId="3" borderId="0" xfId="0" applyNumberFormat="1" applyFont="1" applyFill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 wrapText="1"/>
    </xf>
    <xf numFmtId="43" fontId="1" fillId="5" borderId="0" xfId="1" applyFont="1" applyFill="1" applyAlignment="1">
      <alignment horizontal="right"/>
    </xf>
    <xf numFmtId="2" fontId="1" fillId="2" borderId="4" xfId="0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67"/>
  <sheetViews>
    <sheetView tabSelected="1" zoomScale="71" zoomScaleNormal="71" workbookViewId="0">
      <selection activeCell="I6" sqref="I6"/>
    </sheetView>
  </sheetViews>
  <sheetFormatPr defaultRowHeight="12.5" x14ac:dyDescent="0.25"/>
  <cols>
    <col min="1" max="1" width="10.7265625" customWidth="1"/>
    <col min="2" max="2" width="53.1796875" customWidth="1"/>
    <col min="3" max="3" width="20.26953125" customWidth="1"/>
    <col min="4" max="4" width="13.36328125" customWidth="1"/>
  </cols>
  <sheetData>
    <row r="1" spans="1:4" s="1" customFormat="1" ht="35" customHeight="1" x14ac:dyDescent="0.25">
      <c r="A1" s="9" t="s">
        <v>141</v>
      </c>
      <c r="B1" s="2" t="s">
        <v>142</v>
      </c>
      <c r="C1" s="10" t="s">
        <v>139</v>
      </c>
      <c r="D1" s="10" t="s">
        <v>140</v>
      </c>
    </row>
    <row r="2" spans="1:4" s="1" customFormat="1" ht="19.75" customHeight="1" x14ac:dyDescent="0.25">
      <c r="A2" s="8">
        <f>2025</f>
        <v>2025</v>
      </c>
      <c r="B2" s="3" t="s">
        <v>0</v>
      </c>
      <c r="C2" s="11">
        <v>121441.6394</v>
      </c>
      <c r="D2" s="5">
        <v>138088.9724</v>
      </c>
    </row>
    <row r="3" spans="1:4" s="1" customFormat="1" ht="19.75" customHeight="1" x14ac:dyDescent="0.25">
      <c r="A3" s="8">
        <f>2025</f>
        <v>2025</v>
      </c>
      <c r="B3" s="3" t="s">
        <v>1</v>
      </c>
      <c r="C3" s="6">
        <v>70826.298200000005</v>
      </c>
      <c r="D3" s="7">
        <v>79819.920800000007</v>
      </c>
    </row>
    <row r="4" spans="1:4" s="1" customFormat="1" ht="19.75" customHeight="1" x14ac:dyDescent="0.25">
      <c r="A4" s="8">
        <f>2025</f>
        <v>2025</v>
      </c>
      <c r="B4" s="3" t="s">
        <v>2</v>
      </c>
      <c r="C4" s="4">
        <v>24947.451700000001</v>
      </c>
      <c r="D4" s="5">
        <v>28401.624800000001</v>
      </c>
    </row>
    <row r="5" spans="1:4" s="1" customFormat="1" ht="19.75" customHeight="1" x14ac:dyDescent="0.25">
      <c r="A5" s="8">
        <f>2025</f>
        <v>2025</v>
      </c>
      <c r="B5" s="3" t="s">
        <v>3</v>
      </c>
      <c r="C5" s="6">
        <v>119755.0692</v>
      </c>
      <c r="D5" s="12">
        <v>142207.8719</v>
      </c>
    </row>
    <row r="6" spans="1:4" s="1" customFormat="1" ht="19.75" customHeight="1" x14ac:dyDescent="0.25">
      <c r="A6" s="8">
        <f>2025</f>
        <v>2025</v>
      </c>
      <c r="B6" s="3" t="s">
        <v>4</v>
      </c>
      <c r="C6" s="4">
        <v>33665.852899999998</v>
      </c>
      <c r="D6" s="5">
        <v>39520.441099999996</v>
      </c>
    </row>
    <row r="7" spans="1:4" s="1" customFormat="1" ht="19.75" customHeight="1" x14ac:dyDescent="0.25">
      <c r="A7" s="8">
        <f>2025</f>
        <v>2025</v>
      </c>
      <c r="B7" s="3" t="s">
        <v>5</v>
      </c>
      <c r="C7" s="6">
        <v>62002.158000000003</v>
      </c>
      <c r="D7" s="7">
        <v>71225.638999999996</v>
      </c>
    </row>
    <row r="8" spans="1:4" s="1" customFormat="1" ht="19.75" customHeight="1" x14ac:dyDescent="0.25">
      <c r="A8" s="8">
        <f>2025</f>
        <v>2025</v>
      </c>
      <c r="B8" s="3" t="s">
        <v>6</v>
      </c>
      <c r="C8" s="4">
        <v>28131.008669999999</v>
      </c>
      <c r="D8" s="5">
        <v>33676.077069999999</v>
      </c>
    </row>
    <row r="9" spans="1:4" s="1" customFormat="1" ht="19.75" customHeight="1" x14ac:dyDescent="0.25">
      <c r="A9" s="8">
        <f>2025</f>
        <v>2025</v>
      </c>
      <c r="B9" s="3" t="s">
        <v>7</v>
      </c>
      <c r="C9" s="6">
        <v>11481.300300000001</v>
      </c>
      <c r="D9" s="7">
        <v>13048.9511</v>
      </c>
    </row>
    <row r="10" spans="1:4" s="1" customFormat="1" ht="19.75" customHeight="1" x14ac:dyDescent="0.25">
      <c r="A10" s="8">
        <f>2025</f>
        <v>2025</v>
      </c>
      <c r="B10" s="3" t="s">
        <v>8</v>
      </c>
      <c r="C10" s="4">
        <v>121760.727</v>
      </c>
      <c r="D10" s="5">
        <v>138070.09830000001</v>
      </c>
    </row>
    <row r="11" spans="1:4" s="1" customFormat="1" ht="19.75" customHeight="1" x14ac:dyDescent="0.25">
      <c r="A11" s="8">
        <f>2025</f>
        <v>2025</v>
      </c>
      <c r="B11" s="3" t="s">
        <v>9</v>
      </c>
      <c r="C11" s="6">
        <v>462489.35350000003</v>
      </c>
      <c r="D11" s="7">
        <v>524172.41269999999</v>
      </c>
    </row>
    <row r="12" spans="1:4" s="1" customFormat="1" ht="19.75" customHeight="1" x14ac:dyDescent="0.25">
      <c r="A12" s="8">
        <f>2025</f>
        <v>2025</v>
      </c>
      <c r="B12" s="3" t="s">
        <v>10</v>
      </c>
      <c r="C12" s="4">
        <v>25066.911400000001</v>
      </c>
      <c r="D12" s="5">
        <v>29473.545699999999</v>
      </c>
    </row>
    <row r="13" spans="1:4" s="1" customFormat="1" ht="19.75" customHeight="1" x14ac:dyDescent="0.25">
      <c r="A13" s="8">
        <f>2025</f>
        <v>2025</v>
      </c>
      <c r="B13" s="3" t="s">
        <v>11</v>
      </c>
      <c r="C13" s="6">
        <v>107725.97289999999</v>
      </c>
      <c r="D13" s="7">
        <v>127538.8873</v>
      </c>
    </row>
    <row r="14" spans="1:4" s="1" customFormat="1" ht="19.75" customHeight="1" x14ac:dyDescent="0.25">
      <c r="A14" s="8">
        <f>2025</f>
        <v>2025</v>
      </c>
      <c r="B14" s="3" t="s">
        <v>12</v>
      </c>
      <c r="C14" s="4">
        <v>122677.0401</v>
      </c>
      <c r="D14" s="5">
        <v>147934.0963</v>
      </c>
    </row>
    <row r="15" spans="1:4" s="1" customFormat="1" ht="19.75" customHeight="1" x14ac:dyDescent="0.25">
      <c r="A15" s="8">
        <f>2025</f>
        <v>2025</v>
      </c>
      <c r="B15" s="3" t="s">
        <v>13</v>
      </c>
      <c r="C15" s="6">
        <v>21948.2287</v>
      </c>
      <c r="D15" s="7">
        <v>24914.828699999998</v>
      </c>
    </row>
    <row r="16" spans="1:4" s="1" customFormat="1" ht="19.75" customHeight="1" x14ac:dyDescent="0.25">
      <c r="A16" s="8">
        <f>2025</f>
        <v>2025</v>
      </c>
      <c r="B16" s="3" t="s">
        <v>14</v>
      </c>
      <c r="C16" s="4">
        <v>5834.0425999999998</v>
      </c>
      <c r="D16" s="5">
        <v>6732.1049999999996</v>
      </c>
    </row>
    <row r="17" spans="1:4" s="1" customFormat="1" ht="19.75" customHeight="1" x14ac:dyDescent="0.25">
      <c r="A17" s="8">
        <f>2025</f>
        <v>2025</v>
      </c>
      <c r="B17" s="3" t="s">
        <v>15</v>
      </c>
      <c r="C17" s="6">
        <v>3597.1444000000001</v>
      </c>
      <c r="D17" s="7">
        <v>4569.1970000000001</v>
      </c>
    </row>
    <row r="18" spans="1:4" s="1" customFormat="1" ht="19.75" customHeight="1" x14ac:dyDescent="0.25">
      <c r="A18" s="8">
        <f>2025</f>
        <v>2025</v>
      </c>
      <c r="B18" s="3" t="s">
        <v>16</v>
      </c>
      <c r="C18" s="4">
        <v>6470.5852999999997</v>
      </c>
      <c r="D18" s="5">
        <v>7221.0977000000003</v>
      </c>
    </row>
    <row r="19" spans="1:4" s="1" customFormat="1" ht="19.75" customHeight="1" x14ac:dyDescent="0.25">
      <c r="A19" s="8">
        <f>2025</f>
        <v>2025</v>
      </c>
      <c r="B19" s="3" t="s">
        <v>17</v>
      </c>
      <c r="C19" s="6">
        <v>1319.8771999999999</v>
      </c>
      <c r="D19" s="7">
        <v>1489.0844</v>
      </c>
    </row>
    <row r="20" spans="1:4" s="1" customFormat="1" ht="19.75" customHeight="1" x14ac:dyDescent="0.25">
      <c r="A20" s="8">
        <f>2025</f>
        <v>2025</v>
      </c>
      <c r="B20" s="3" t="s">
        <v>18</v>
      </c>
      <c r="C20" s="4">
        <v>26365.2523</v>
      </c>
      <c r="D20" s="5">
        <v>30166.5016</v>
      </c>
    </row>
    <row r="21" spans="1:4" s="1" customFormat="1" ht="19.75" customHeight="1" x14ac:dyDescent="0.25">
      <c r="A21" s="8">
        <f>2025</f>
        <v>2025</v>
      </c>
      <c r="B21" s="3" t="s">
        <v>19</v>
      </c>
      <c r="C21" s="6">
        <v>300517.0417</v>
      </c>
      <c r="D21" s="7">
        <v>346149.3235</v>
      </c>
    </row>
    <row r="22" spans="1:4" s="1" customFormat="1" ht="19.75" customHeight="1" x14ac:dyDescent="0.25">
      <c r="A22" s="8">
        <f>2025</f>
        <v>2025</v>
      </c>
      <c r="B22" s="3" t="s">
        <v>20</v>
      </c>
      <c r="C22" s="4">
        <v>163263.78140000001</v>
      </c>
      <c r="D22" s="5">
        <v>191770.48430000001</v>
      </c>
    </row>
    <row r="23" spans="1:4" s="1" customFormat="1" ht="19.75" customHeight="1" x14ac:dyDescent="0.25">
      <c r="A23" s="8">
        <f>2025</f>
        <v>2025</v>
      </c>
      <c r="B23" s="3" t="s">
        <v>21</v>
      </c>
      <c r="C23" s="6">
        <v>28902.033449999999</v>
      </c>
      <c r="D23" s="7">
        <v>33826.021209999999</v>
      </c>
    </row>
    <row r="24" spans="1:4" s="1" customFormat="1" ht="19.75" customHeight="1" x14ac:dyDescent="0.25">
      <c r="A24" s="8">
        <f>2025</f>
        <v>2025</v>
      </c>
      <c r="B24" s="3" t="s">
        <v>22</v>
      </c>
      <c r="C24" s="4">
        <v>36501.486570000001</v>
      </c>
      <c r="D24" s="5">
        <v>43523.202579999997</v>
      </c>
    </row>
    <row r="25" spans="1:4" s="1" customFormat="1" ht="19.75" customHeight="1" x14ac:dyDescent="0.25">
      <c r="A25" s="8">
        <f>2025</f>
        <v>2025</v>
      </c>
      <c r="B25" s="3" t="s">
        <v>23</v>
      </c>
      <c r="C25" s="6">
        <v>48667.664299999997</v>
      </c>
      <c r="D25" s="7">
        <v>56351.858500000002</v>
      </c>
    </row>
    <row r="26" spans="1:4" s="1" customFormat="1" ht="19.75" customHeight="1" x14ac:dyDescent="0.25">
      <c r="A26" s="8">
        <f>2025</f>
        <v>2025</v>
      </c>
      <c r="B26" s="3" t="s">
        <v>24</v>
      </c>
      <c r="C26" s="4">
        <v>12535.862999999999</v>
      </c>
      <c r="D26" s="5">
        <v>13672.6751</v>
      </c>
    </row>
    <row r="27" spans="1:4" s="1" customFormat="1" ht="19.75" customHeight="1" x14ac:dyDescent="0.25">
      <c r="A27" s="8">
        <f>2025</f>
        <v>2025</v>
      </c>
      <c r="B27" s="3" t="s">
        <v>25</v>
      </c>
      <c r="C27" s="6">
        <v>9013.6039999999994</v>
      </c>
      <c r="D27" s="7">
        <v>10283.1167</v>
      </c>
    </row>
    <row r="28" spans="1:4" s="1" customFormat="1" ht="19.75" customHeight="1" x14ac:dyDescent="0.25">
      <c r="A28" s="8">
        <f>2025</f>
        <v>2025</v>
      </c>
      <c r="B28" s="3" t="s">
        <v>26</v>
      </c>
      <c r="C28" s="4">
        <v>9678.0402119999999</v>
      </c>
      <c r="D28" s="5">
        <v>11507.59245</v>
      </c>
    </row>
    <row r="29" spans="1:4" s="1" customFormat="1" ht="19.75" customHeight="1" x14ac:dyDescent="0.25">
      <c r="A29" s="8">
        <f>2025</f>
        <v>2025</v>
      </c>
      <c r="B29" s="3" t="s">
        <v>27</v>
      </c>
      <c r="C29" s="6">
        <v>52919.7287</v>
      </c>
      <c r="D29" s="7">
        <v>67880.863700000002</v>
      </c>
    </row>
    <row r="30" spans="1:4" s="1" customFormat="1" ht="19.75" customHeight="1" x14ac:dyDescent="0.25">
      <c r="A30" s="8">
        <f>2025</f>
        <v>2025</v>
      </c>
      <c r="B30" s="3" t="s">
        <v>28</v>
      </c>
      <c r="C30" s="4">
        <v>710.41414099999997</v>
      </c>
      <c r="D30" s="5">
        <v>751.85407899999996</v>
      </c>
    </row>
    <row r="31" spans="1:4" s="1" customFormat="1" ht="19.75" customHeight="1" x14ac:dyDescent="0.25">
      <c r="A31" s="8">
        <f>2025</f>
        <v>2025</v>
      </c>
      <c r="B31" s="3" t="s">
        <v>29</v>
      </c>
      <c r="C31" s="6">
        <v>14039.07</v>
      </c>
      <c r="D31" s="7">
        <v>17845.246800000001</v>
      </c>
    </row>
    <row r="32" spans="1:4" s="1" customFormat="1" ht="19.75" customHeight="1" x14ac:dyDescent="0.25">
      <c r="A32" s="8">
        <f>2025</f>
        <v>2025</v>
      </c>
      <c r="B32" s="3" t="s">
        <v>30</v>
      </c>
      <c r="C32" s="4">
        <v>9413.3104000000003</v>
      </c>
      <c r="D32" s="5">
        <v>11226.7395</v>
      </c>
    </row>
    <row r="33" spans="1:4" s="1" customFormat="1" ht="19.75" customHeight="1" x14ac:dyDescent="0.25">
      <c r="A33" s="8">
        <f>2025</f>
        <v>2025</v>
      </c>
      <c r="B33" s="3" t="s">
        <v>31</v>
      </c>
      <c r="C33" s="6">
        <v>5291.2669699999997</v>
      </c>
      <c r="D33" s="7">
        <v>6141.7529649999997</v>
      </c>
    </row>
    <row r="34" spans="1:4" s="1" customFormat="1" ht="19.75" customHeight="1" x14ac:dyDescent="0.25">
      <c r="A34" s="8">
        <f>2025</f>
        <v>2025</v>
      </c>
      <c r="B34" s="3" t="s">
        <v>32</v>
      </c>
      <c r="C34" s="4">
        <v>30894.910100000001</v>
      </c>
      <c r="D34" s="5">
        <v>36751.773200000003</v>
      </c>
    </row>
    <row r="35" spans="1:4" s="1" customFormat="1" ht="19.75" customHeight="1" x14ac:dyDescent="0.25">
      <c r="A35" s="8">
        <f>2025</f>
        <v>2025</v>
      </c>
      <c r="B35" s="3" t="s">
        <v>33</v>
      </c>
      <c r="C35" s="6">
        <v>23.508785</v>
      </c>
      <c r="D35" s="7">
        <v>56.610472000000001</v>
      </c>
    </row>
    <row r="36" spans="1:4" s="1" customFormat="1" ht="19.75" customHeight="1" x14ac:dyDescent="0.25">
      <c r="A36" s="8">
        <f>2025</f>
        <v>2025</v>
      </c>
      <c r="B36" s="3" t="s">
        <v>34</v>
      </c>
      <c r="C36" s="4">
        <v>752.96839999999997</v>
      </c>
      <c r="D36" s="5">
        <v>2670.0373</v>
      </c>
    </row>
    <row r="37" spans="1:4" s="1" customFormat="1" ht="30.4" customHeight="1" x14ac:dyDescent="0.25">
      <c r="A37" s="8">
        <f>2025</f>
        <v>2025</v>
      </c>
      <c r="B37" s="3" t="s">
        <v>35</v>
      </c>
      <c r="C37" s="6">
        <v>1879.9122</v>
      </c>
      <c r="D37" s="7">
        <v>2056.1028000000001</v>
      </c>
    </row>
    <row r="38" spans="1:4" s="1" customFormat="1" ht="19.75" customHeight="1" x14ac:dyDescent="0.25">
      <c r="A38" s="8">
        <f>2025</f>
        <v>2025</v>
      </c>
      <c r="B38" s="3" t="s">
        <v>36</v>
      </c>
      <c r="C38" s="4">
        <v>6926.3965159999998</v>
      </c>
      <c r="D38" s="5">
        <v>8189.6421570000002</v>
      </c>
    </row>
    <row r="39" spans="1:4" s="1" customFormat="1" ht="19.75" customHeight="1" x14ac:dyDescent="0.25">
      <c r="A39" s="8">
        <f>2025</f>
        <v>2025</v>
      </c>
      <c r="B39" s="3" t="s">
        <v>37</v>
      </c>
      <c r="C39" s="6">
        <v>168.299768</v>
      </c>
      <c r="D39" s="7">
        <v>183.266716</v>
      </c>
    </row>
    <row r="40" spans="1:4" s="1" customFormat="1" ht="19.75" customHeight="1" x14ac:dyDescent="0.25">
      <c r="A40" s="8">
        <f>2025</f>
        <v>2025</v>
      </c>
      <c r="B40" s="3" t="s">
        <v>38</v>
      </c>
      <c r="C40" s="4">
        <v>46.050010999999998</v>
      </c>
      <c r="D40" s="5">
        <v>50.078595</v>
      </c>
    </row>
    <row r="41" spans="1:4" s="1" customFormat="1" ht="19.75" customHeight="1" x14ac:dyDescent="0.25">
      <c r="A41" s="8">
        <f>2025</f>
        <v>2025</v>
      </c>
      <c r="B41" s="3" t="s">
        <v>39</v>
      </c>
      <c r="C41" s="6">
        <v>27.072099999999999</v>
      </c>
      <c r="D41" s="7">
        <v>41.574199999999998</v>
      </c>
    </row>
    <row r="42" spans="1:4" s="1" customFormat="1" ht="19.75" customHeight="1" x14ac:dyDescent="0.25">
      <c r="A42" s="8">
        <f>2025</f>
        <v>2025</v>
      </c>
      <c r="B42" s="3" t="s">
        <v>40</v>
      </c>
      <c r="C42" s="4">
        <v>128.70169999999999</v>
      </c>
      <c r="D42" s="5">
        <v>160.4776</v>
      </c>
    </row>
    <row r="43" spans="1:4" s="1" customFormat="1" ht="19.75" customHeight="1" x14ac:dyDescent="0.25">
      <c r="A43" s="8">
        <f>2025</f>
        <v>2025</v>
      </c>
      <c r="B43" s="3" t="s">
        <v>41</v>
      </c>
      <c r="C43" s="6">
        <v>3579.2671</v>
      </c>
      <c r="D43" s="7">
        <v>4275.8629000000001</v>
      </c>
    </row>
    <row r="44" spans="1:4" s="1" customFormat="1" ht="19.75" customHeight="1" x14ac:dyDescent="0.25">
      <c r="A44" s="8">
        <f>2025</f>
        <v>2025</v>
      </c>
      <c r="B44" s="3" t="s">
        <v>42</v>
      </c>
      <c r="C44" s="4">
        <v>4037.7316000000001</v>
      </c>
      <c r="D44" s="5">
        <v>4253.0226000000002</v>
      </c>
    </row>
    <row r="45" spans="1:4" s="1" customFormat="1" ht="19.75" customHeight="1" x14ac:dyDescent="0.25">
      <c r="A45" s="8">
        <f>2025</f>
        <v>2025</v>
      </c>
      <c r="B45" s="3" t="s">
        <v>43</v>
      </c>
      <c r="C45" s="6">
        <v>17000.01297</v>
      </c>
      <c r="D45" s="7">
        <v>22173.329720000002</v>
      </c>
    </row>
    <row r="46" spans="1:4" s="1" customFormat="1" ht="19.75" customHeight="1" x14ac:dyDescent="0.25">
      <c r="A46" s="8">
        <f>2025</f>
        <v>2025</v>
      </c>
      <c r="B46" s="3" t="s">
        <v>44</v>
      </c>
      <c r="C46" s="4">
        <v>61.406999999999996</v>
      </c>
      <c r="D46" s="5">
        <v>62.3444</v>
      </c>
    </row>
    <row r="47" spans="1:4" s="1" customFormat="1" ht="19.75" customHeight="1" x14ac:dyDescent="0.25">
      <c r="A47" s="8">
        <f>2025</f>
        <v>2025</v>
      </c>
      <c r="B47" s="3" t="s">
        <v>45</v>
      </c>
      <c r="C47" s="6">
        <v>1376.488926</v>
      </c>
      <c r="D47" s="7">
        <v>1402.396209</v>
      </c>
    </row>
    <row r="48" spans="1:4" s="1" customFormat="1" ht="19.75" customHeight="1" x14ac:dyDescent="0.25">
      <c r="A48" s="8">
        <f>2025</f>
        <v>2025</v>
      </c>
      <c r="B48" s="3" t="s">
        <v>46</v>
      </c>
      <c r="C48" s="4">
        <v>289.96969999999999</v>
      </c>
      <c r="D48" s="5">
        <v>320.38580000000002</v>
      </c>
    </row>
    <row r="49" spans="1:4" s="1" customFormat="1" ht="19.75" customHeight="1" x14ac:dyDescent="0.25">
      <c r="A49" s="8">
        <f>2025</f>
        <v>2025</v>
      </c>
      <c r="B49" s="3" t="s">
        <v>47</v>
      </c>
      <c r="C49" s="6">
        <v>9295.23</v>
      </c>
      <c r="D49" s="7">
        <v>11332.093800000001</v>
      </c>
    </row>
    <row r="50" spans="1:4" s="1" customFormat="1" ht="19.75" customHeight="1" x14ac:dyDescent="0.25">
      <c r="A50" s="8">
        <f>2025</f>
        <v>2025</v>
      </c>
      <c r="B50" s="3" t="s">
        <v>48</v>
      </c>
      <c r="C50" s="4">
        <v>10358.578799999999</v>
      </c>
      <c r="D50" s="5">
        <v>12415.1296</v>
      </c>
    </row>
    <row r="51" spans="1:4" s="1" customFormat="1" ht="19.75" customHeight="1" x14ac:dyDescent="0.25">
      <c r="A51" s="8">
        <f>2025</f>
        <v>2025</v>
      </c>
      <c r="B51" s="3" t="s">
        <v>49</v>
      </c>
      <c r="C51" s="6">
        <v>101.87869999999999</v>
      </c>
      <c r="D51" s="7">
        <v>113.0039</v>
      </c>
    </row>
    <row r="52" spans="1:4" s="1" customFormat="1" ht="19.75" customHeight="1" x14ac:dyDescent="0.25">
      <c r="A52" s="8">
        <f>2025</f>
        <v>2025</v>
      </c>
      <c r="B52" s="3" t="s">
        <v>50</v>
      </c>
      <c r="C52" s="4">
        <v>642.47090000000003</v>
      </c>
      <c r="D52" s="5">
        <v>745.59019999999998</v>
      </c>
    </row>
    <row r="53" spans="1:4" s="1" customFormat="1" ht="19.75" customHeight="1" x14ac:dyDescent="0.25">
      <c r="A53" s="8">
        <f>2025</f>
        <v>2025</v>
      </c>
      <c r="B53" s="3" t="s">
        <v>51</v>
      </c>
      <c r="C53" s="6">
        <v>475.52620000000002</v>
      </c>
      <c r="D53" s="7">
        <v>526.83410000000003</v>
      </c>
    </row>
    <row r="54" spans="1:4" s="1" customFormat="1" ht="19.75" customHeight="1" x14ac:dyDescent="0.25">
      <c r="A54" s="8">
        <f>2025</f>
        <v>2025</v>
      </c>
      <c r="B54" s="3" t="s">
        <v>52</v>
      </c>
      <c r="C54" s="4">
        <v>21.5306</v>
      </c>
      <c r="D54" s="5">
        <v>34.648499999999999</v>
      </c>
    </row>
    <row r="55" spans="1:4" s="1" customFormat="1" ht="19.75" customHeight="1" x14ac:dyDescent="0.25">
      <c r="A55" s="8">
        <f>2025</f>
        <v>2025</v>
      </c>
      <c r="B55" s="3" t="s">
        <v>53</v>
      </c>
      <c r="C55" s="6">
        <v>369.98700000000002</v>
      </c>
      <c r="D55" s="7">
        <v>404.17689999999999</v>
      </c>
    </row>
    <row r="56" spans="1:4" s="1" customFormat="1" ht="19.75" customHeight="1" x14ac:dyDescent="0.25">
      <c r="A56" s="8">
        <f>2025</f>
        <v>2025</v>
      </c>
      <c r="B56" s="3" t="s">
        <v>54</v>
      </c>
      <c r="C56" s="4">
        <v>64.465599999999995</v>
      </c>
      <c r="D56" s="5">
        <v>69.9512</v>
      </c>
    </row>
    <row r="57" spans="1:4" s="1" customFormat="1" ht="19.75" customHeight="1" x14ac:dyDescent="0.25">
      <c r="A57" s="8">
        <f>2025</f>
        <v>2025</v>
      </c>
      <c r="B57" s="3" t="s">
        <v>55</v>
      </c>
      <c r="C57" s="6">
        <v>8173.9465</v>
      </c>
      <c r="D57" s="7">
        <v>10498.5578</v>
      </c>
    </row>
    <row r="58" spans="1:4" s="1" customFormat="1" ht="19.75" customHeight="1" x14ac:dyDescent="0.25">
      <c r="A58" s="8">
        <f>2025</f>
        <v>2025</v>
      </c>
      <c r="B58" s="3" t="s">
        <v>56</v>
      </c>
      <c r="C58" s="4">
        <v>109.0193</v>
      </c>
      <c r="D58" s="5">
        <v>193.76859999999999</v>
      </c>
    </row>
    <row r="59" spans="1:4" s="1" customFormat="1" ht="19.75" customHeight="1" x14ac:dyDescent="0.25">
      <c r="A59" s="8">
        <f>2025</f>
        <v>2025</v>
      </c>
      <c r="B59" s="3" t="s">
        <v>57</v>
      </c>
      <c r="C59" s="6">
        <v>301.03840000000002</v>
      </c>
      <c r="D59" s="7">
        <v>334.9153</v>
      </c>
    </row>
    <row r="60" spans="1:4" s="1" customFormat="1" ht="19.75" customHeight="1" x14ac:dyDescent="0.25">
      <c r="A60" s="8">
        <f>2025</f>
        <v>2025</v>
      </c>
      <c r="B60" s="3" t="s">
        <v>58</v>
      </c>
      <c r="C60" s="4">
        <v>235.13470000000001</v>
      </c>
      <c r="D60" s="5">
        <v>248.17699999999999</v>
      </c>
    </row>
    <row r="61" spans="1:4" s="1" customFormat="1" ht="19.75" customHeight="1" x14ac:dyDescent="0.25">
      <c r="A61" s="8">
        <f>2025</f>
        <v>2025</v>
      </c>
      <c r="B61" s="3" t="s">
        <v>59</v>
      </c>
      <c r="C61" s="6">
        <v>165.12870000000001</v>
      </c>
      <c r="D61" s="7">
        <v>182.21080000000001</v>
      </c>
    </row>
    <row r="62" spans="1:4" s="1" customFormat="1" ht="19.75" customHeight="1" x14ac:dyDescent="0.25">
      <c r="A62" s="8">
        <f>2025</f>
        <v>2025</v>
      </c>
      <c r="B62" s="3" t="s">
        <v>60</v>
      </c>
      <c r="C62" s="4">
        <v>3301.3425000000002</v>
      </c>
      <c r="D62" s="5">
        <v>3851.4153999999999</v>
      </c>
    </row>
    <row r="63" spans="1:4" s="1" customFormat="1" ht="19.75" customHeight="1" x14ac:dyDescent="0.25">
      <c r="A63" s="8">
        <f>2025</f>
        <v>2025</v>
      </c>
      <c r="B63" s="3" t="s">
        <v>61</v>
      </c>
      <c r="C63" s="6">
        <v>2795.9549000000002</v>
      </c>
      <c r="D63" s="7">
        <v>3635.9767000000002</v>
      </c>
    </row>
    <row r="64" spans="1:4" s="1" customFormat="1" ht="19.75" customHeight="1" x14ac:dyDescent="0.25">
      <c r="A64" s="8">
        <f>2025</f>
        <v>2025</v>
      </c>
      <c r="B64" s="3" t="s">
        <v>62</v>
      </c>
      <c r="C64" s="4">
        <v>264.98739999999998</v>
      </c>
      <c r="D64" s="5">
        <v>268.76339999999999</v>
      </c>
    </row>
    <row r="65" spans="1:4" s="1" customFormat="1" ht="19.75" customHeight="1" x14ac:dyDescent="0.25">
      <c r="A65" s="8">
        <f>2025</f>
        <v>2025</v>
      </c>
      <c r="B65" s="3" t="s">
        <v>63</v>
      </c>
      <c r="C65" s="6">
        <v>22.835699999999999</v>
      </c>
      <c r="D65" s="7">
        <v>22.992799999999999</v>
      </c>
    </row>
    <row r="66" spans="1:4" s="1" customFormat="1" ht="19.75" customHeight="1" x14ac:dyDescent="0.25">
      <c r="A66" s="8">
        <f>2025</f>
        <v>2025</v>
      </c>
      <c r="B66" s="3" t="s">
        <v>64</v>
      </c>
      <c r="C66" s="4">
        <v>31.028199999999998</v>
      </c>
      <c r="D66" s="5">
        <v>50.109099999999998</v>
      </c>
    </row>
    <row r="67" spans="1:4" s="1" customFormat="1" ht="19.75" customHeight="1" x14ac:dyDescent="0.25">
      <c r="A67" s="8">
        <f>2025</f>
        <v>2025</v>
      </c>
      <c r="B67" s="3" t="s">
        <v>65</v>
      </c>
      <c r="C67" s="6">
        <v>155.46510000000001</v>
      </c>
      <c r="D67" s="7">
        <v>173.57259999999999</v>
      </c>
    </row>
    <row r="68" spans="1:4" s="1" customFormat="1" ht="19.75" customHeight="1" x14ac:dyDescent="0.25">
      <c r="A68" s="8">
        <f>2025</f>
        <v>2025</v>
      </c>
      <c r="B68" s="3" t="s">
        <v>66</v>
      </c>
      <c r="C68" s="4">
        <v>420.916808</v>
      </c>
      <c r="D68" s="5">
        <v>775.46255599999995</v>
      </c>
    </row>
    <row r="69" spans="1:4" s="1" customFormat="1" ht="19.75" customHeight="1" x14ac:dyDescent="0.25">
      <c r="A69" s="8">
        <f>2025</f>
        <v>2025</v>
      </c>
      <c r="B69" s="3" t="s">
        <v>67</v>
      </c>
      <c r="C69" s="6">
        <v>740.83330000000001</v>
      </c>
      <c r="D69" s="7">
        <v>916.57150000000001</v>
      </c>
    </row>
    <row r="70" spans="1:4" s="1" customFormat="1" ht="19.75" customHeight="1" x14ac:dyDescent="0.25">
      <c r="A70" s="8">
        <f>2025</f>
        <v>2025</v>
      </c>
      <c r="B70" s="3" t="s">
        <v>68</v>
      </c>
      <c r="C70" s="4">
        <v>1017.8909</v>
      </c>
      <c r="D70" s="5">
        <v>1098.0241000000001</v>
      </c>
    </row>
    <row r="71" spans="1:4" s="1" customFormat="1" ht="19.75" customHeight="1" x14ac:dyDescent="0.25">
      <c r="A71" s="8">
        <f>2025</f>
        <v>2025</v>
      </c>
      <c r="B71" s="3" t="s">
        <v>69</v>
      </c>
      <c r="C71" s="6">
        <v>489.14429999999999</v>
      </c>
      <c r="D71" s="7">
        <v>508.60899999999998</v>
      </c>
    </row>
    <row r="72" spans="1:4" s="1" customFormat="1" ht="19.75" customHeight="1" x14ac:dyDescent="0.25">
      <c r="A72" s="8">
        <f>2025</f>
        <v>2025</v>
      </c>
      <c r="B72" s="3" t="s">
        <v>70</v>
      </c>
      <c r="C72" s="4">
        <v>15.7667</v>
      </c>
      <c r="D72" s="5">
        <v>18.319600000000001</v>
      </c>
    </row>
    <row r="73" spans="1:4" s="1" customFormat="1" ht="19.75" customHeight="1" x14ac:dyDescent="0.25">
      <c r="A73" s="8">
        <f>2025</f>
        <v>2025</v>
      </c>
      <c r="B73" s="3" t="s">
        <v>71</v>
      </c>
      <c r="C73" s="6">
        <v>16930.133150000001</v>
      </c>
      <c r="D73" s="7">
        <v>19937.58916</v>
      </c>
    </row>
    <row r="74" spans="1:4" s="1" customFormat="1" ht="19.75" customHeight="1" x14ac:dyDescent="0.25">
      <c r="A74" s="8">
        <f>2025</f>
        <v>2025</v>
      </c>
      <c r="B74" s="3" t="s">
        <v>72</v>
      </c>
      <c r="C74" s="4">
        <v>3384.1387570000002</v>
      </c>
      <c r="D74" s="5">
        <v>3767.7676459999998</v>
      </c>
    </row>
    <row r="75" spans="1:4" s="1" customFormat="1" ht="30.4" customHeight="1" x14ac:dyDescent="0.25">
      <c r="A75" s="8">
        <f>2025</f>
        <v>2025</v>
      </c>
      <c r="B75" s="3" t="s">
        <v>73</v>
      </c>
      <c r="C75" s="6">
        <v>23414.080450000001</v>
      </c>
      <c r="D75" s="7">
        <v>27611.552629999998</v>
      </c>
    </row>
    <row r="76" spans="1:4" s="1" customFormat="1" ht="19.75" customHeight="1" x14ac:dyDescent="0.25">
      <c r="A76" s="8">
        <f>2025</f>
        <v>2025</v>
      </c>
      <c r="B76" s="3" t="s">
        <v>74</v>
      </c>
      <c r="C76" s="4">
        <v>398.86590000000001</v>
      </c>
      <c r="D76" s="5">
        <v>425.58100000000002</v>
      </c>
    </row>
    <row r="77" spans="1:4" s="1" customFormat="1" ht="19.75" customHeight="1" x14ac:dyDescent="0.25">
      <c r="A77" s="8">
        <f>2025</f>
        <v>2025</v>
      </c>
      <c r="B77" s="3" t="s">
        <v>75</v>
      </c>
      <c r="C77" s="6">
        <v>88.838899999999995</v>
      </c>
      <c r="D77" s="7">
        <v>99.035700000000006</v>
      </c>
    </row>
    <row r="78" spans="1:4" s="1" customFormat="1" ht="19.75" customHeight="1" x14ac:dyDescent="0.25">
      <c r="A78" s="8">
        <f>2025</f>
        <v>2025</v>
      </c>
      <c r="B78" s="3" t="s">
        <v>76</v>
      </c>
      <c r="C78" s="4">
        <v>394.42790000000002</v>
      </c>
      <c r="D78" s="5">
        <v>424.30169999999998</v>
      </c>
    </row>
    <row r="79" spans="1:4" s="1" customFormat="1" ht="19.75" customHeight="1" x14ac:dyDescent="0.25">
      <c r="A79" s="8">
        <f>2025</f>
        <v>2025</v>
      </c>
      <c r="B79" s="3" t="s">
        <v>77</v>
      </c>
      <c r="C79" s="6">
        <v>16063.73086</v>
      </c>
      <c r="D79" s="7">
        <v>18590.041939999999</v>
      </c>
    </row>
    <row r="80" spans="1:4" s="1" customFormat="1" ht="19.75" customHeight="1" x14ac:dyDescent="0.25">
      <c r="A80" s="8">
        <f>2025</f>
        <v>2025</v>
      </c>
      <c r="B80" s="3" t="s">
        <v>78</v>
      </c>
      <c r="C80" s="4">
        <v>908.49580000000003</v>
      </c>
      <c r="D80" s="5">
        <v>994.51900000000001</v>
      </c>
    </row>
    <row r="81" spans="1:4" s="1" customFormat="1" ht="19.75" customHeight="1" x14ac:dyDescent="0.25">
      <c r="A81" s="8">
        <f>2025</f>
        <v>2025</v>
      </c>
      <c r="B81" s="3" t="s">
        <v>79</v>
      </c>
      <c r="C81" s="6">
        <v>6311.7250000000004</v>
      </c>
      <c r="D81" s="7">
        <v>7223.2141000000001</v>
      </c>
    </row>
    <row r="82" spans="1:4" s="1" customFormat="1" ht="19.75" customHeight="1" x14ac:dyDescent="0.25">
      <c r="A82" s="8">
        <f>2025</f>
        <v>2025</v>
      </c>
      <c r="B82" s="3" t="s">
        <v>80</v>
      </c>
      <c r="C82" s="4">
        <v>3862.22</v>
      </c>
      <c r="D82" s="5">
        <v>4329.3083999999999</v>
      </c>
    </row>
    <row r="83" spans="1:4" s="1" customFormat="1" ht="19.75" customHeight="1" x14ac:dyDescent="0.25">
      <c r="A83" s="8">
        <f>2025</f>
        <v>2025</v>
      </c>
      <c r="B83" s="3" t="s">
        <v>81</v>
      </c>
      <c r="C83" s="6">
        <v>4709.7938999999997</v>
      </c>
      <c r="D83" s="7">
        <v>5485.6549000000005</v>
      </c>
    </row>
    <row r="84" spans="1:4" s="1" customFormat="1" ht="19.75" customHeight="1" x14ac:dyDescent="0.25">
      <c r="A84" s="8">
        <f>2025</f>
        <v>2025</v>
      </c>
      <c r="B84" s="3" t="s">
        <v>82</v>
      </c>
      <c r="C84" s="4">
        <v>409.23327499999999</v>
      </c>
      <c r="D84" s="5">
        <v>603.714651</v>
      </c>
    </row>
    <row r="85" spans="1:4" s="1" customFormat="1" ht="19.75" customHeight="1" x14ac:dyDescent="0.25">
      <c r="A85" s="8">
        <f>2025</f>
        <v>2025</v>
      </c>
      <c r="B85" s="3" t="s">
        <v>83</v>
      </c>
      <c r="C85" s="6">
        <v>374.80970000000002</v>
      </c>
      <c r="D85" s="7">
        <v>422.88400000000001</v>
      </c>
    </row>
    <row r="86" spans="1:4" s="1" customFormat="1" ht="19.75" customHeight="1" x14ac:dyDescent="0.25">
      <c r="A86" s="8">
        <f>2025</f>
        <v>2025</v>
      </c>
      <c r="B86" s="3" t="s">
        <v>84</v>
      </c>
      <c r="C86" s="4">
        <v>1953.7494039999999</v>
      </c>
      <c r="D86" s="5">
        <v>2171.0005139999998</v>
      </c>
    </row>
    <row r="87" spans="1:4" s="1" customFormat="1" ht="19.75" customHeight="1" x14ac:dyDescent="0.25">
      <c r="A87" s="8">
        <f>2025</f>
        <v>2025</v>
      </c>
      <c r="B87" s="3" t="s">
        <v>85</v>
      </c>
      <c r="C87" s="6">
        <v>6354.3895929999999</v>
      </c>
      <c r="D87" s="7">
        <v>7200.5870180000002</v>
      </c>
    </row>
    <row r="88" spans="1:4" s="1" customFormat="1" ht="19.75" customHeight="1" x14ac:dyDescent="0.25">
      <c r="A88" s="8">
        <f>2025</f>
        <v>2025</v>
      </c>
      <c r="B88" s="3" t="s">
        <v>86</v>
      </c>
      <c r="C88" s="4">
        <v>2068.568049</v>
      </c>
      <c r="D88" s="5">
        <v>2837.0925470000002</v>
      </c>
    </row>
    <row r="89" spans="1:4" s="1" customFormat="1" ht="19.75" customHeight="1" x14ac:dyDescent="0.25">
      <c r="A89" s="8">
        <f>2025</f>
        <v>2025</v>
      </c>
      <c r="B89" s="3" t="s">
        <v>87</v>
      </c>
      <c r="C89" s="6">
        <v>3764.9259999999999</v>
      </c>
      <c r="D89" s="7">
        <v>4364.7602999999999</v>
      </c>
    </row>
    <row r="90" spans="1:4" s="1" customFormat="1" ht="19.75" customHeight="1" x14ac:dyDescent="0.25">
      <c r="A90" s="8">
        <f>2025</f>
        <v>2025</v>
      </c>
      <c r="B90" s="3" t="s">
        <v>88</v>
      </c>
      <c r="C90" s="4">
        <v>252.708901</v>
      </c>
      <c r="D90" s="5">
        <v>2708.633002</v>
      </c>
    </row>
    <row r="91" spans="1:4" s="1" customFormat="1" ht="19.75" customHeight="1" x14ac:dyDescent="0.25">
      <c r="A91" s="8">
        <f>2025</f>
        <v>2025</v>
      </c>
      <c r="B91" s="3" t="s">
        <v>89</v>
      </c>
      <c r="C91" s="6">
        <v>195.2304</v>
      </c>
      <c r="D91" s="7">
        <v>1847.1043</v>
      </c>
    </row>
    <row r="92" spans="1:4" s="1" customFormat="1" ht="19.75" customHeight="1" x14ac:dyDescent="0.25">
      <c r="A92" s="8">
        <f>2025</f>
        <v>2025</v>
      </c>
      <c r="B92" s="3" t="s">
        <v>90</v>
      </c>
      <c r="C92" s="4">
        <v>1122.8472999999999</v>
      </c>
      <c r="D92" s="5">
        <v>2148.1228999999998</v>
      </c>
    </row>
    <row r="93" spans="1:4" s="1" customFormat="1" ht="19.75" customHeight="1" x14ac:dyDescent="0.25">
      <c r="A93" s="8">
        <f>2025</f>
        <v>2025</v>
      </c>
      <c r="B93" s="3" t="s">
        <v>91</v>
      </c>
      <c r="C93" s="6">
        <v>123.7115</v>
      </c>
      <c r="D93" s="7">
        <v>233.31209999999999</v>
      </c>
    </row>
    <row r="94" spans="1:4" s="1" customFormat="1" ht="19.75" customHeight="1" x14ac:dyDescent="0.25">
      <c r="A94" s="8">
        <f>2024</f>
        <v>2024</v>
      </c>
      <c r="B94" s="3" t="s">
        <v>0</v>
      </c>
      <c r="C94" s="4">
        <v>112605.94620000001</v>
      </c>
      <c r="D94" s="5">
        <v>127101.31230000001</v>
      </c>
    </row>
    <row r="95" spans="1:4" s="1" customFormat="1" ht="19.75" customHeight="1" x14ac:dyDescent="0.25">
      <c r="A95" s="8">
        <f>2024</f>
        <v>2024</v>
      </c>
      <c r="B95" s="3" t="s">
        <v>1</v>
      </c>
      <c r="C95" s="6">
        <v>60709.490400000002</v>
      </c>
      <c r="D95" s="7">
        <v>66804.344200000007</v>
      </c>
    </row>
    <row r="96" spans="1:4" s="1" customFormat="1" ht="19.75" customHeight="1" x14ac:dyDescent="0.25">
      <c r="A96" s="8">
        <f>2024</f>
        <v>2024</v>
      </c>
      <c r="B96" s="3" t="s">
        <v>2</v>
      </c>
      <c r="C96" s="4">
        <v>20494.688300000002</v>
      </c>
      <c r="D96" s="5">
        <v>23492.554</v>
      </c>
    </row>
    <row r="97" spans="1:4" s="1" customFormat="1" ht="19.75" customHeight="1" x14ac:dyDescent="0.25">
      <c r="A97" s="8">
        <f>2024</f>
        <v>2024</v>
      </c>
      <c r="B97" s="3" t="s">
        <v>3</v>
      </c>
      <c r="C97" s="6">
        <v>108687.9256</v>
      </c>
      <c r="D97" s="7">
        <v>127654.3619</v>
      </c>
    </row>
    <row r="98" spans="1:4" s="1" customFormat="1" ht="19.75" customHeight="1" x14ac:dyDescent="0.25">
      <c r="A98" s="8">
        <f>2024</f>
        <v>2024</v>
      </c>
      <c r="B98" s="3" t="s">
        <v>4</v>
      </c>
      <c r="C98" s="4">
        <v>30722.235799999999</v>
      </c>
      <c r="D98" s="5">
        <v>35433.515599999999</v>
      </c>
    </row>
    <row r="99" spans="1:4" s="1" customFormat="1" ht="19.75" customHeight="1" x14ac:dyDescent="0.25">
      <c r="A99" s="8">
        <f>2024</f>
        <v>2024</v>
      </c>
      <c r="B99" s="3" t="s">
        <v>5</v>
      </c>
      <c r="C99" s="6">
        <v>55614.777600000001</v>
      </c>
      <c r="D99" s="7">
        <v>63481.498200000002</v>
      </c>
    </row>
    <row r="100" spans="1:4" s="1" customFormat="1" ht="19.75" customHeight="1" x14ac:dyDescent="0.25">
      <c r="A100" s="8">
        <f>2024</f>
        <v>2024</v>
      </c>
      <c r="B100" s="3" t="s">
        <v>6</v>
      </c>
      <c r="C100" s="4">
        <v>24049.734410000001</v>
      </c>
      <c r="D100" s="5">
        <v>29705.996790000001</v>
      </c>
    </row>
    <row r="101" spans="1:4" s="1" customFormat="1" ht="19.75" customHeight="1" x14ac:dyDescent="0.25">
      <c r="A101" s="8">
        <f>2024</f>
        <v>2024</v>
      </c>
      <c r="B101" s="3" t="s">
        <v>7</v>
      </c>
      <c r="C101" s="6">
        <v>9693.9755999999998</v>
      </c>
      <c r="D101" s="7">
        <v>10915.444799999999</v>
      </c>
    </row>
    <row r="102" spans="1:4" s="1" customFormat="1" ht="19.75" customHeight="1" x14ac:dyDescent="0.25">
      <c r="A102" s="8">
        <f>2024</f>
        <v>2024</v>
      </c>
      <c r="B102" s="3" t="s">
        <v>8</v>
      </c>
      <c r="C102" s="4">
        <v>106901.62</v>
      </c>
      <c r="D102" s="5">
        <v>120285.1596</v>
      </c>
    </row>
    <row r="103" spans="1:4" s="1" customFormat="1" ht="19.75" customHeight="1" x14ac:dyDescent="0.25">
      <c r="A103" s="8">
        <f>2024</f>
        <v>2024</v>
      </c>
      <c r="B103" s="3" t="s">
        <v>9</v>
      </c>
      <c r="C103" s="6">
        <v>415130.65549999999</v>
      </c>
      <c r="D103" s="7">
        <v>466812.81920000003</v>
      </c>
    </row>
    <row r="104" spans="1:4" s="1" customFormat="1" ht="19.75" customHeight="1" x14ac:dyDescent="0.25">
      <c r="A104" s="8">
        <f>2024</f>
        <v>2024</v>
      </c>
      <c r="B104" s="3" t="s">
        <v>10</v>
      </c>
      <c r="C104" s="4">
        <v>21854.335800000001</v>
      </c>
      <c r="D104" s="5">
        <v>25119.8652</v>
      </c>
    </row>
    <row r="105" spans="1:4" s="1" customFormat="1" ht="19.75" customHeight="1" x14ac:dyDescent="0.25">
      <c r="A105" s="8">
        <f>2024</f>
        <v>2024</v>
      </c>
      <c r="B105" s="3" t="s">
        <v>11</v>
      </c>
      <c r="C105" s="6">
        <v>99777.957699999999</v>
      </c>
      <c r="D105" s="7">
        <v>115858.15180000001</v>
      </c>
    </row>
    <row r="106" spans="1:4" s="1" customFormat="1" ht="19.75" customHeight="1" x14ac:dyDescent="0.25">
      <c r="A106" s="8">
        <f>2024</f>
        <v>2024</v>
      </c>
      <c r="B106" s="3" t="s">
        <v>12</v>
      </c>
      <c r="C106" s="4">
        <v>109368.6327</v>
      </c>
      <c r="D106" s="5">
        <v>131810.58790000001</v>
      </c>
    </row>
    <row r="107" spans="1:4" s="1" customFormat="1" ht="19.75" customHeight="1" x14ac:dyDescent="0.25">
      <c r="A107" s="8">
        <f>2024</f>
        <v>2024</v>
      </c>
      <c r="B107" s="3" t="s">
        <v>13</v>
      </c>
      <c r="C107" s="6">
        <v>18869.618119999999</v>
      </c>
      <c r="D107" s="7">
        <v>21041.03788</v>
      </c>
    </row>
    <row r="108" spans="1:4" s="1" customFormat="1" ht="19.75" customHeight="1" x14ac:dyDescent="0.25">
      <c r="A108" s="8">
        <f>2024</f>
        <v>2024</v>
      </c>
      <c r="B108" s="3" t="s">
        <v>14</v>
      </c>
      <c r="C108" s="4">
        <v>5270.5652</v>
      </c>
      <c r="D108" s="5">
        <v>6012.2204000000002</v>
      </c>
    </row>
    <row r="109" spans="1:4" s="1" customFormat="1" ht="19.75" customHeight="1" x14ac:dyDescent="0.25">
      <c r="A109" s="8">
        <f>2024</f>
        <v>2024</v>
      </c>
      <c r="B109" s="3" t="s">
        <v>15</v>
      </c>
      <c r="C109" s="6">
        <v>2927.5423000000001</v>
      </c>
      <c r="D109" s="7">
        <v>3511.8287</v>
      </c>
    </row>
    <row r="110" spans="1:4" s="1" customFormat="1" ht="19.75" customHeight="1" x14ac:dyDescent="0.25">
      <c r="A110" s="8">
        <f>2024</f>
        <v>2024</v>
      </c>
      <c r="B110" s="3" t="s">
        <v>16</v>
      </c>
      <c r="C110" s="4">
        <v>5362.0393000000004</v>
      </c>
      <c r="D110" s="5">
        <v>5836.2763999999997</v>
      </c>
    </row>
    <row r="111" spans="1:4" s="1" customFormat="1" ht="19.75" customHeight="1" x14ac:dyDescent="0.25">
      <c r="A111" s="8">
        <f>2024</f>
        <v>2024</v>
      </c>
      <c r="B111" s="3" t="s">
        <v>17</v>
      </c>
      <c r="C111" s="6">
        <v>1206.9906000000001</v>
      </c>
      <c r="D111" s="7">
        <v>1359.5500999999999</v>
      </c>
    </row>
    <row r="112" spans="1:4" s="1" customFormat="1" ht="19.75" customHeight="1" x14ac:dyDescent="0.25">
      <c r="A112" s="8">
        <f>2024</f>
        <v>2024</v>
      </c>
      <c r="B112" s="3" t="s">
        <v>18</v>
      </c>
      <c r="C112" s="4">
        <v>22188.257300000001</v>
      </c>
      <c r="D112" s="5">
        <v>25267.528999999999</v>
      </c>
    </row>
    <row r="113" spans="1:4" s="1" customFormat="1" ht="19.75" customHeight="1" x14ac:dyDescent="0.25">
      <c r="A113" s="8">
        <f>2024</f>
        <v>2024</v>
      </c>
      <c r="B113" s="3" t="s">
        <v>19</v>
      </c>
      <c r="C113" s="6">
        <v>258340.57550000001</v>
      </c>
      <c r="D113" s="7">
        <v>307581.57490000001</v>
      </c>
    </row>
    <row r="114" spans="1:4" s="1" customFormat="1" ht="19.75" customHeight="1" x14ac:dyDescent="0.25">
      <c r="A114" s="8">
        <f>2024</f>
        <v>2024</v>
      </c>
      <c r="B114" s="3" t="s">
        <v>20</v>
      </c>
      <c r="C114" s="4">
        <v>142890.94200000001</v>
      </c>
      <c r="D114" s="5">
        <v>165848.71090000001</v>
      </c>
    </row>
    <row r="115" spans="1:4" s="1" customFormat="1" ht="19.75" customHeight="1" x14ac:dyDescent="0.25">
      <c r="A115" s="8">
        <f>2024</f>
        <v>2024</v>
      </c>
      <c r="B115" s="3" t="s">
        <v>21</v>
      </c>
      <c r="C115" s="6">
        <v>26426.133999999998</v>
      </c>
      <c r="D115" s="7">
        <v>30037.041000000001</v>
      </c>
    </row>
    <row r="116" spans="1:4" s="1" customFormat="1" ht="19.75" customHeight="1" x14ac:dyDescent="0.25">
      <c r="A116" s="8">
        <f>2024</f>
        <v>2024</v>
      </c>
      <c r="B116" s="3" t="s">
        <v>22</v>
      </c>
      <c r="C116" s="4">
        <v>30322.501189999999</v>
      </c>
      <c r="D116" s="5">
        <v>36324.495060000001</v>
      </c>
    </row>
    <row r="117" spans="1:4" s="1" customFormat="1" ht="19.75" customHeight="1" x14ac:dyDescent="0.25">
      <c r="A117" s="8">
        <f>2024</f>
        <v>2024</v>
      </c>
      <c r="B117" s="3" t="s">
        <v>23</v>
      </c>
      <c r="C117" s="6">
        <v>45748.2137</v>
      </c>
      <c r="D117" s="7">
        <v>55136.056400000001</v>
      </c>
    </row>
    <row r="118" spans="1:4" s="1" customFormat="1" ht="19.75" customHeight="1" x14ac:dyDescent="0.25">
      <c r="A118" s="8">
        <f>2024</f>
        <v>2024</v>
      </c>
      <c r="B118" s="3" t="s">
        <v>24</v>
      </c>
      <c r="C118" s="4">
        <v>11212.362300000001</v>
      </c>
      <c r="D118" s="5">
        <v>12037.841200000001</v>
      </c>
    </row>
    <row r="119" spans="1:4" s="1" customFormat="1" ht="19.75" customHeight="1" x14ac:dyDescent="0.25">
      <c r="A119" s="8">
        <f>2024</f>
        <v>2024</v>
      </c>
      <c r="B119" s="3" t="s">
        <v>25</v>
      </c>
      <c r="C119" s="6">
        <v>8298.5095000000001</v>
      </c>
      <c r="D119" s="7">
        <v>9617.4262999999992</v>
      </c>
    </row>
    <row r="120" spans="1:4" s="1" customFormat="1" ht="19.75" customHeight="1" x14ac:dyDescent="0.25">
      <c r="A120" s="8">
        <f>2024</f>
        <v>2024</v>
      </c>
      <c r="B120" s="3" t="s">
        <v>26</v>
      </c>
      <c r="C120" s="4">
        <v>8213.1635619999997</v>
      </c>
      <c r="D120" s="5">
        <v>9862.6296880000009</v>
      </c>
    </row>
    <row r="121" spans="1:4" s="1" customFormat="1" ht="19.75" customHeight="1" x14ac:dyDescent="0.25">
      <c r="A121" s="8">
        <f>2024</f>
        <v>2024</v>
      </c>
      <c r="B121" s="3" t="s">
        <v>27</v>
      </c>
      <c r="C121" s="6">
        <v>45798.911</v>
      </c>
      <c r="D121" s="7">
        <v>56072.011700000003</v>
      </c>
    </row>
    <row r="122" spans="1:4" s="1" customFormat="1" ht="19.75" customHeight="1" x14ac:dyDescent="0.25">
      <c r="A122" s="8">
        <f>2024</f>
        <v>2024</v>
      </c>
      <c r="B122" s="3" t="s">
        <v>28</v>
      </c>
      <c r="C122" s="4">
        <v>692.13261799999998</v>
      </c>
      <c r="D122" s="5">
        <v>754.91901800000005</v>
      </c>
    </row>
    <row r="123" spans="1:4" s="1" customFormat="1" ht="19.75" customHeight="1" x14ac:dyDescent="0.25">
      <c r="A123" s="8">
        <f>2024</f>
        <v>2024</v>
      </c>
      <c r="B123" s="3" t="s">
        <v>29</v>
      </c>
      <c r="C123" s="6">
        <v>12394.3014</v>
      </c>
      <c r="D123" s="7">
        <v>15437.194100000001</v>
      </c>
    </row>
    <row r="124" spans="1:4" s="1" customFormat="1" ht="19.75" customHeight="1" x14ac:dyDescent="0.25">
      <c r="A124" s="8">
        <f>2024</f>
        <v>2024</v>
      </c>
      <c r="B124" s="3" t="s">
        <v>30</v>
      </c>
      <c r="C124" s="4">
        <v>8612.8089</v>
      </c>
      <c r="D124" s="5">
        <v>10128.324500000001</v>
      </c>
    </row>
    <row r="125" spans="1:4" s="1" customFormat="1" ht="19.75" customHeight="1" x14ac:dyDescent="0.25">
      <c r="A125" s="8">
        <f>2024</f>
        <v>2024</v>
      </c>
      <c r="B125" s="3" t="s">
        <v>31</v>
      </c>
      <c r="C125" s="6">
        <v>4847.9093940000002</v>
      </c>
      <c r="D125" s="7">
        <v>5492.8556920000001</v>
      </c>
    </row>
    <row r="126" spans="1:4" s="1" customFormat="1" ht="19.75" customHeight="1" x14ac:dyDescent="0.25">
      <c r="A126" s="8">
        <f>2024</f>
        <v>2024</v>
      </c>
      <c r="B126" s="3" t="s">
        <v>32</v>
      </c>
      <c r="C126" s="4">
        <v>27585.938300000002</v>
      </c>
      <c r="D126" s="5">
        <v>32700.237099999998</v>
      </c>
    </row>
    <row r="127" spans="1:4" s="1" customFormat="1" ht="19.75" customHeight="1" x14ac:dyDescent="0.25">
      <c r="A127" s="8">
        <f>2024</f>
        <v>2024</v>
      </c>
      <c r="B127" s="3" t="s">
        <v>92</v>
      </c>
      <c r="C127" s="6">
        <v>14.942926</v>
      </c>
      <c r="D127" s="7">
        <v>43.401617999999999</v>
      </c>
    </row>
    <row r="128" spans="1:4" s="1" customFormat="1" ht="19.75" customHeight="1" x14ac:dyDescent="0.25">
      <c r="A128" s="8">
        <f>2024</f>
        <v>2024</v>
      </c>
      <c r="B128" s="3" t="s">
        <v>34</v>
      </c>
      <c r="C128" s="4">
        <v>665.83349999999996</v>
      </c>
      <c r="D128" s="5">
        <v>2207.4357</v>
      </c>
    </row>
    <row r="129" spans="1:4" s="1" customFormat="1" ht="30.4" customHeight="1" x14ac:dyDescent="0.25">
      <c r="A129" s="8">
        <f>2024</f>
        <v>2024</v>
      </c>
      <c r="B129" s="3" t="s">
        <v>35</v>
      </c>
      <c r="C129" s="6">
        <v>1243.1978999999999</v>
      </c>
      <c r="D129" s="7">
        <v>1170.2601999999999</v>
      </c>
    </row>
    <row r="130" spans="1:4" s="1" customFormat="1" ht="19.75" customHeight="1" x14ac:dyDescent="0.25">
      <c r="A130" s="8">
        <f>2024</f>
        <v>2024</v>
      </c>
      <c r="B130" s="3" t="s">
        <v>36</v>
      </c>
      <c r="C130" s="4">
        <v>5616.6710700000003</v>
      </c>
      <c r="D130" s="5">
        <v>6360.1070499999996</v>
      </c>
    </row>
    <row r="131" spans="1:4" s="1" customFormat="1" ht="19.75" customHeight="1" x14ac:dyDescent="0.25">
      <c r="A131" s="8">
        <f>2024</f>
        <v>2024</v>
      </c>
      <c r="B131" s="3" t="s">
        <v>37</v>
      </c>
      <c r="C131" s="6">
        <v>166.9487</v>
      </c>
      <c r="D131" s="7">
        <v>197.45130399999999</v>
      </c>
    </row>
    <row r="132" spans="1:4" s="1" customFormat="1" ht="19.75" customHeight="1" x14ac:dyDescent="0.25">
      <c r="A132" s="8">
        <f>2024</f>
        <v>2024</v>
      </c>
      <c r="B132" s="3" t="s">
        <v>38</v>
      </c>
      <c r="C132" s="4">
        <v>45.085143000000002</v>
      </c>
      <c r="D132" s="5">
        <v>48.849713000000001</v>
      </c>
    </row>
    <row r="133" spans="1:4" s="1" customFormat="1" ht="19.75" customHeight="1" x14ac:dyDescent="0.25">
      <c r="A133" s="8">
        <f>2024</f>
        <v>2024</v>
      </c>
      <c r="B133" s="3" t="s">
        <v>39</v>
      </c>
      <c r="C133" s="6">
        <v>26.421399999999998</v>
      </c>
      <c r="D133" s="7">
        <v>47.635199999999998</v>
      </c>
    </row>
    <row r="134" spans="1:4" s="1" customFormat="1" ht="19.75" customHeight="1" x14ac:dyDescent="0.25">
      <c r="A134" s="8">
        <f>2024</f>
        <v>2024</v>
      </c>
      <c r="B134" s="3" t="s">
        <v>40</v>
      </c>
      <c r="C134" s="4">
        <v>125.5676</v>
      </c>
      <c r="D134" s="5">
        <v>166.99520000000001</v>
      </c>
    </row>
    <row r="135" spans="1:4" s="1" customFormat="1" ht="19.75" customHeight="1" x14ac:dyDescent="0.25">
      <c r="A135" s="8">
        <f>2024</f>
        <v>2024</v>
      </c>
      <c r="B135" s="3" t="s">
        <v>41</v>
      </c>
      <c r="C135" s="6">
        <v>2926.7665000000002</v>
      </c>
      <c r="D135" s="7">
        <v>3309.5169999999998</v>
      </c>
    </row>
    <row r="136" spans="1:4" s="1" customFormat="1" ht="19.75" customHeight="1" x14ac:dyDescent="0.25">
      <c r="A136" s="8">
        <f>2024</f>
        <v>2024</v>
      </c>
      <c r="B136" s="3" t="s">
        <v>42</v>
      </c>
      <c r="C136" s="4">
        <v>3087.2127999999998</v>
      </c>
      <c r="D136" s="5">
        <v>3508.9695999999999</v>
      </c>
    </row>
    <row r="137" spans="1:4" s="1" customFormat="1" ht="19.75" customHeight="1" x14ac:dyDescent="0.25">
      <c r="A137" s="8">
        <f>2024</f>
        <v>2024</v>
      </c>
      <c r="B137" s="3" t="s">
        <v>43</v>
      </c>
      <c r="C137" s="6">
        <v>15411.10037</v>
      </c>
      <c r="D137" s="7">
        <v>20037.032329999998</v>
      </c>
    </row>
    <row r="138" spans="1:4" s="1" customFormat="1" ht="19.75" customHeight="1" x14ac:dyDescent="0.25">
      <c r="A138" s="8">
        <f>2024</f>
        <v>2024</v>
      </c>
      <c r="B138" s="3" t="s">
        <v>44</v>
      </c>
      <c r="C138" s="4">
        <v>91.691599999999994</v>
      </c>
      <c r="D138" s="5">
        <v>96.772900000000007</v>
      </c>
    </row>
    <row r="139" spans="1:4" s="1" customFormat="1" ht="19.75" customHeight="1" x14ac:dyDescent="0.25">
      <c r="A139" s="8">
        <f>2024</f>
        <v>2024</v>
      </c>
      <c r="B139" s="3" t="s">
        <v>45</v>
      </c>
      <c r="C139" s="6">
        <v>1126.558397</v>
      </c>
      <c r="D139" s="7">
        <v>1074.3788489999999</v>
      </c>
    </row>
    <row r="140" spans="1:4" s="1" customFormat="1" ht="19.75" customHeight="1" x14ac:dyDescent="0.25">
      <c r="A140" s="8">
        <f>2024</f>
        <v>2024</v>
      </c>
      <c r="B140" s="3" t="s">
        <v>93</v>
      </c>
      <c r="C140" s="4">
        <v>871.44129999999996</v>
      </c>
      <c r="D140" s="5">
        <v>884.50739999999996</v>
      </c>
    </row>
    <row r="141" spans="1:4" s="1" customFormat="1" ht="19.75" customHeight="1" x14ac:dyDescent="0.25">
      <c r="A141" s="8">
        <f>2024</f>
        <v>2024</v>
      </c>
      <c r="B141" s="3" t="s">
        <v>46</v>
      </c>
      <c r="C141" s="6">
        <v>243.1146</v>
      </c>
      <c r="D141" s="7">
        <v>272.84230000000002</v>
      </c>
    </row>
    <row r="142" spans="1:4" s="1" customFormat="1" ht="19.75" customHeight="1" x14ac:dyDescent="0.25">
      <c r="A142" s="8">
        <f>2024</f>
        <v>2024</v>
      </c>
      <c r="B142" s="3" t="s">
        <v>47</v>
      </c>
      <c r="C142" s="4">
        <v>7836.7629999999999</v>
      </c>
      <c r="D142" s="5">
        <v>9383.9339359999994</v>
      </c>
    </row>
    <row r="143" spans="1:4" s="1" customFormat="1" ht="19.75" customHeight="1" x14ac:dyDescent="0.25">
      <c r="A143" s="8">
        <f>2024</f>
        <v>2024</v>
      </c>
      <c r="B143" s="3" t="s">
        <v>48</v>
      </c>
      <c r="C143" s="6">
        <v>9723.0884999999998</v>
      </c>
      <c r="D143" s="7">
        <v>11233.911899999999</v>
      </c>
    </row>
    <row r="144" spans="1:4" s="1" customFormat="1" ht="19.75" customHeight="1" x14ac:dyDescent="0.25">
      <c r="A144" s="8">
        <f>2024</f>
        <v>2024</v>
      </c>
      <c r="B144" s="3" t="s">
        <v>49</v>
      </c>
      <c r="C144" s="4">
        <v>85.058899999999994</v>
      </c>
      <c r="D144" s="5">
        <v>101.2586</v>
      </c>
    </row>
    <row r="145" spans="1:4" s="1" customFormat="1" ht="19.75" customHeight="1" x14ac:dyDescent="0.25">
      <c r="A145" s="8">
        <f>2024</f>
        <v>2024</v>
      </c>
      <c r="B145" s="3" t="s">
        <v>50</v>
      </c>
      <c r="C145" s="6">
        <v>538.42819999999995</v>
      </c>
      <c r="D145" s="7">
        <v>594.31200000000001</v>
      </c>
    </row>
    <row r="146" spans="1:4" s="1" customFormat="1" ht="19.75" customHeight="1" x14ac:dyDescent="0.25">
      <c r="A146" s="8">
        <f>2024</f>
        <v>2024</v>
      </c>
      <c r="B146" s="3" t="s">
        <v>51</v>
      </c>
      <c r="C146" s="4">
        <v>536.23569999999995</v>
      </c>
      <c r="D146" s="5">
        <v>536.00969999999995</v>
      </c>
    </row>
    <row r="147" spans="1:4" s="1" customFormat="1" ht="19.75" customHeight="1" x14ac:dyDescent="0.25">
      <c r="A147" s="8">
        <f>2024</f>
        <v>2024</v>
      </c>
      <c r="B147" s="3" t="s">
        <v>52</v>
      </c>
      <c r="C147" s="6">
        <v>21.330400000000001</v>
      </c>
      <c r="D147" s="7">
        <v>42.968000000000004</v>
      </c>
    </row>
    <row r="148" spans="1:4" s="1" customFormat="1" ht="19.75" customHeight="1" x14ac:dyDescent="0.25">
      <c r="A148" s="8">
        <f>2024</f>
        <v>2024</v>
      </c>
      <c r="B148" s="3" t="s">
        <v>53</v>
      </c>
      <c r="C148" s="4">
        <v>324.8544</v>
      </c>
      <c r="D148" s="5">
        <v>362.16149999999999</v>
      </c>
    </row>
    <row r="149" spans="1:4" s="1" customFormat="1" ht="19.75" customHeight="1" x14ac:dyDescent="0.25">
      <c r="A149" s="8">
        <f>2024</f>
        <v>2024</v>
      </c>
      <c r="B149" s="3" t="s">
        <v>54</v>
      </c>
      <c r="C149" s="6">
        <v>60.203899999999997</v>
      </c>
      <c r="D149" s="7">
        <v>66.348799999999997</v>
      </c>
    </row>
    <row r="150" spans="1:4" s="1" customFormat="1" ht="19.75" customHeight="1" x14ac:dyDescent="0.25">
      <c r="A150" s="8">
        <f>2024</f>
        <v>2024</v>
      </c>
      <c r="B150" s="3" t="s">
        <v>55</v>
      </c>
      <c r="C150" s="4">
        <v>6739.1616999999997</v>
      </c>
      <c r="D150" s="5">
        <v>8096.8896999999997</v>
      </c>
    </row>
    <row r="151" spans="1:4" s="1" customFormat="1" ht="19.75" customHeight="1" x14ac:dyDescent="0.25">
      <c r="A151" s="8">
        <f>2024</f>
        <v>2024</v>
      </c>
      <c r="B151" s="3" t="s">
        <v>56</v>
      </c>
      <c r="C151" s="6">
        <v>40.233199999999997</v>
      </c>
      <c r="D151" s="7">
        <v>93.852999999999994</v>
      </c>
    </row>
    <row r="152" spans="1:4" s="1" customFormat="1" ht="19.75" customHeight="1" x14ac:dyDescent="0.25">
      <c r="A152" s="8">
        <f>2024</f>
        <v>2024</v>
      </c>
      <c r="B152" s="3" t="s">
        <v>57</v>
      </c>
      <c r="C152" s="4">
        <v>261.39139999999998</v>
      </c>
      <c r="D152" s="5">
        <v>288.07010000000002</v>
      </c>
    </row>
    <row r="153" spans="1:4" s="1" customFormat="1" ht="19.75" customHeight="1" x14ac:dyDescent="0.25">
      <c r="A153" s="8">
        <f>2024</f>
        <v>2024</v>
      </c>
      <c r="B153" s="3" t="s">
        <v>58</v>
      </c>
      <c r="C153" s="6">
        <v>221.9306</v>
      </c>
      <c r="D153" s="7">
        <v>230.77449999999999</v>
      </c>
    </row>
    <row r="154" spans="1:4" s="1" customFormat="1" ht="19.75" customHeight="1" x14ac:dyDescent="0.25">
      <c r="A154" s="8">
        <f>2024</f>
        <v>2024</v>
      </c>
      <c r="B154" s="3" t="s">
        <v>94</v>
      </c>
      <c r="C154" s="4">
        <v>3.3102</v>
      </c>
      <c r="D154" s="5">
        <v>3.3106</v>
      </c>
    </row>
    <row r="155" spans="1:4" s="1" customFormat="1" ht="19.75" customHeight="1" x14ac:dyDescent="0.25">
      <c r="A155" s="8">
        <f>2024</f>
        <v>2024</v>
      </c>
      <c r="B155" s="3" t="s">
        <v>59</v>
      </c>
      <c r="C155" s="6">
        <v>115.6251</v>
      </c>
      <c r="D155" s="7">
        <v>129.88630000000001</v>
      </c>
    </row>
    <row r="156" spans="1:4" s="1" customFormat="1" ht="19.75" customHeight="1" x14ac:dyDescent="0.25">
      <c r="A156" s="8">
        <f>2024</f>
        <v>2024</v>
      </c>
      <c r="B156" s="3" t="s">
        <v>60</v>
      </c>
      <c r="C156" s="4">
        <v>2181.8553999999999</v>
      </c>
      <c r="D156" s="5">
        <v>2601.3168999999998</v>
      </c>
    </row>
    <row r="157" spans="1:4" s="1" customFormat="1" ht="19.75" customHeight="1" x14ac:dyDescent="0.25">
      <c r="A157" s="8">
        <f>2024</f>
        <v>2024</v>
      </c>
      <c r="B157" s="3" t="s">
        <v>61</v>
      </c>
      <c r="C157" s="6">
        <v>2484.8971999999999</v>
      </c>
      <c r="D157" s="7">
        <v>3112.8973999999998</v>
      </c>
    </row>
    <row r="158" spans="1:4" s="1" customFormat="1" ht="19.75" customHeight="1" x14ac:dyDescent="0.25">
      <c r="A158" s="8">
        <f>2024</f>
        <v>2024</v>
      </c>
      <c r="B158" s="3" t="s">
        <v>62</v>
      </c>
      <c r="C158" s="4">
        <v>272.58850000000001</v>
      </c>
      <c r="D158" s="5">
        <v>273.54739999999998</v>
      </c>
    </row>
    <row r="159" spans="1:4" s="1" customFormat="1" ht="19.75" customHeight="1" x14ac:dyDescent="0.25">
      <c r="A159" s="8">
        <f>2024</f>
        <v>2024</v>
      </c>
      <c r="B159" s="3" t="s">
        <v>63</v>
      </c>
      <c r="C159" s="6">
        <v>19.961099999999998</v>
      </c>
      <c r="D159" s="7">
        <v>20.164100000000001</v>
      </c>
    </row>
    <row r="160" spans="1:4" s="1" customFormat="1" ht="19.75" customHeight="1" x14ac:dyDescent="0.25">
      <c r="A160" s="8">
        <f>2024</f>
        <v>2024</v>
      </c>
      <c r="B160" s="3" t="s">
        <v>64</v>
      </c>
      <c r="C160" s="4">
        <v>20.251018999999999</v>
      </c>
      <c r="D160" s="5">
        <v>32.362842000000001</v>
      </c>
    </row>
    <row r="161" spans="1:4" s="1" customFormat="1" ht="19.75" customHeight="1" x14ac:dyDescent="0.25">
      <c r="A161" s="8">
        <f>2024</f>
        <v>2024</v>
      </c>
      <c r="B161" s="3" t="s">
        <v>65</v>
      </c>
      <c r="C161" s="6">
        <v>99.465000000000003</v>
      </c>
      <c r="D161" s="7">
        <v>125.51390000000001</v>
      </c>
    </row>
    <row r="162" spans="1:4" s="1" customFormat="1" ht="19.75" customHeight="1" x14ac:dyDescent="0.25">
      <c r="A162" s="8">
        <f>2024</f>
        <v>2024</v>
      </c>
      <c r="B162" s="3" t="s">
        <v>66</v>
      </c>
      <c r="C162" s="4">
        <v>674.04591400000004</v>
      </c>
      <c r="D162" s="5">
        <v>1432.8033600000001</v>
      </c>
    </row>
    <row r="163" spans="1:4" s="1" customFormat="1" ht="19.75" customHeight="1" x14ac:dyDescent="0.25">
      <c r="A163" s="8">
        <f>2024</f>
        <v>2024</v>
      </c>
      <c r="B163" s="3" t="s">
        <v>67</v>
      </c>
      <c r="C163" s="6">
        <v>752.93240000000003</v>
      </c>
      <c r="D163" s="7">
        <v>939.51020000000005</v>
      </c>
    </row>
    <row r="164" spans="1:4" s="1" customFormat="1" ht="19.75" customHeight="1" x14ac:dyDescent="0.25">
      <c r="A164" s="8">
        <f>2024</f>
        <v>2024</v>
      </c>
      <c r="B164" s="3" t="s">
        <v>68</v>
      </c>
      <c r="C164" s="4">
        <v>892.51379999999995</v>
      </c>
      <c r="D164" s="5">
        <v>962.64940000000001</v>
      </c>
    </row>
    <row r="165" spans="1:4" s="1" customFormat="1" ht="19.75" customHeight="1" x14ac:dyDescent="0.25">
      <c r="A165" s="8">
        <f>2024</f>
        <v>2024</v>
      </c>
      <c r="B165" s="3" t="s">
        <v>69</v>
      </c>
      <c r="C165" s="6">
        <v>504.24979999999999</v>
      </c>
      <c r="D165" s="7">
        <v>595.67020000000002</v>
      </c>
    </row>
    <row r="166" spans="1:4" s="1" customFormat="1" ht="19.75" customHeight="1" x14ac:dyDescent="0.25">
      <c r="A166" s="8">
        <f>2024</f>
        <v>2024</v>
      </c>
      <c r="B166" s="3" t="s">
        <v>95</v>
      </c>
      <c r="C166" s="4">
        <v>10.255699999999999</v>
      </c>
      <c r="D166" s="5">
        <v>20.874199999999998</v>
      </c>
    </row>
    <row r="167" spans="1:4" s="1" customFormat="1" ht="19.75" customHeight="1" x14ac:dyDescent="0.25">
      <c r="A167" s="8">
        <f>2024</f>
        <v>2024</v>
      </c>
      <c r="B167" s="3" t="s">
        <v>71</v>
      </c>
      <c r="C167" s="6">
        <v>16786.67843</v>
      </c>
      <c r="D167" s="7">
        <v>21648.33311</v>
      </c>
    </row>
    <row r="168" spans="1:4" s="1" customFormat="1" ht="19.75" customHeight="1" x14ac:dyDescent="0.25">
      <c r="A168" s="8">
        <f>2024</f>
        <v>2024</v>
      </c>
      <c r="B168" s="3" t="s">
        <v>72</v>
      </c>
      <c r="C168" s="4">
        <v>2789.0056070000001</v>
      </c>
      <c r="D168" s="5">
        <v>3100.3235359999999</v>
      </c>
    </row>
    <row r="169" spans="1:4" s="1" customFormat="1" ht="30.4" customHeight="1" x14ac:dyDescent="0.25">
      <c r="A169" s="8">
        <f>2024</f>
        <v>2024</v>
      </c>
      <c r="B169" s="3" t="s">
        <v>73</v>
      </c>
      <c r="C169" s="6">
        <v>19962.248899999999</v>
      </c>
      <c r="D169" s="7">
        <v>23914.972399999999</v>
      </c>
    </row>
    <row r="170" spans="1:4" s="1" customFormat="1" ht="19.75" customHeight="1" x14ac:dyDescent="0.25">
      <c r="A170" s="8">
        <f>2024</f>
        <v>2024</v>
      </c>
      <c r="B170" s="3" t="s">
        <v>75</v>
      </c>
      <c r="C170" s="4">
        <v>96.139099999999999</v>
      </c>
      <c r="D170" s="5">
        <v>107.0879</v>
      </c>
    </row>
    <row r="171" spans="1:4" s="1" customFormat="1" ht="19.75" customHeight="1" x14ac:dyDescent="0.25">
      <c r="A171" s="8">
        <f>2024</f>
        <v>2024</v>
      </c>
      <c r="B171" s="3" t="s">
        <v>76</v>
      </c>
      <c r="C171" s="6">
        <v>327.46699999999998</v>
      </c>
      <c r="D171" s="7">
        <v>360.59859999999998</v>
      </c>
    </row>
    <row r="172" spans="1:4" s="1" customFormat="1" ht="19.75" customHeight="1" x14ac:dyDescent="0.25">
      <c r="A172" s="8">
        <f>2024</f>
        <v>2024</v>
      </c>
      <c r="B172" s="3" t="s">
        <v>77</v>
      </c>
      <c r="C172" s="4">
        <v>10554.713040000001</v>
      </c>
      <c r="D172" s="5">
        <v>12251.85507</v>
      </c>
    </row>
    <row r="173" spans="1:4" s="1" customFormat="1" ht="19.75" customHeight="1" x14ac:dyDescent="0.25">
      <c r="A173" s="8">
        <f>2024</f>
        <v>2024</v>
      </c>
      <c r="B173" s="3" t="s">
        <v>78</v>
      </c>
      <c r="C173" s="6">
        <v>794.32550000000003</v>
      </c>
      <c r="D173" s="7">
        <v>862.40509999999995</v>
      </c>
    </row>
    <row r="174" spans="1:4" s="1" customFormat="1" ht="19.75" customHeight="1" x14ac:dyDescent="0.25">
      <c r="A174" s="8">
        <f>2024</f>
        <v>2024</v>
      </c>
      <c r="B174" s="3" t="s">
        <v>79</v>
      </c>
      <c r="C174" s="4">
        <v>5486.4034000000001</v>
      </c>
      <c r="D174" s="5">
        <v>6285.0739999999996</v>
      </c>
    </row>
    <row r="175" spans="1:4" s="1" customFormat="1" ht="19.75" customHeight="1" x14ac:dyDescent="0.25">
      <c r="A175" s="8">
        <f>2024</f>
        <v>2024</v>
      </c>
      <c r="B175" s="3" t="s">
        <v>80</v>
      </c>
      <c r="C175" s="6">
        <v>3818.5309000000002</v>
      </c>
      <c r="D175" s="7">
        <v>4260.2520000000004</v>
      </c>
    </row>
    <row r="176" spans="1:4" s="1" customFormat="1" ht="19.75" customHeight="1" x14ac:dyDescent="0.25">
      <c r="A176" s="8">
        <f>2024</f>
        <v>2024</v>
      </c>
      <c r="B176" s="3" t="s">
        <v>96</v>
      </c>
      <c r="C176" s="4">
        <v>2670.628303</v>
      </c>
      <c r="D176" s="5">
        <v>3013.2815770000002</v>
      </c>
    </row>
    <row r="177" spans="1:4" s="1" customFormat="1" ht="19.75" customHeight="1" x14ac:dyDescent="0.25">
      <c r="A177" s="8">
        <f>2024</f>
        <v>2024</v>
      </c>
      <c r="B177" s="3" t="s">
        <v>81</v>
      </c>
      <c r="C177" s="6">
        <v>4013.8128999999999</v>
      </c>
      <c r="D177" s="7">
        <v>4684.0563000000002</v>
      </c>
    </row>
    <row r="178" spans="1:4" s="1" customFormat="1" ht="19.75" customHeight="1" x14ac:dyDescent="0.25">
      <c r="A178" s="8">
        <f>2024</f>
        <v>2024</v>
      </c>
      <c r="B178" s="3" t="s">
        <v>82</v>
      </c>
      <c r="C178" s="4">
        <v>195.829386</v>
      </c>
      <c r="D178" s="5">
        <v>251.36470499999999</v>
      </c>
    </row>
    <row r="179" spans="1:4" s="1" customFormat="1" ht="19.75" customHeight="1" x14ac:dyDescent="0.25">
      <c r="A179" s="8">
        <f>2024</f>
        <v>2024</v>
      </c>
      <c r="B179" s="3" t="s">
        <v>83</v>
      </c>
      <c r="C179" s="6">
        <v>280.67099999999999</v>
      </c>
      <c r="D179" s="7">
        <v>309.37599999999998</v>
      </c>
    </row>
    <row r="180" spans="1:4" s="1" customFormat="1" ht="19.75" customHeight="1" x14ac:dyDescent="0.25">
      <c r="A180" s="8">
        <f>2024</f>
        <v>2024</v>
      </c>
      <c r="B180" s="3" t="s">
        <v>84</v>
      </c>
      <c r="C180" s="4">
        <v>1588.700867</v>
      </c>
      <c r="D180" s="5">
        <v>1808.085239</v>
      </c>
    </row>
    <row r="181" spans="1:4" s="1" customFormat="1" ht="19.75" customHeight="1" x14ac:dyDescent="0.25">
      <c r="A181" s="8">
        <f>2024</f>
        <v>2024</v>
      </c>
      <c r="B181" s="3" t="s">
        <v>85</v>
      </c>
      <c r="C181" s="6">
        <v>5677.1540569999997</v>
      </c>
      <c r="D181" s="7">
        <v>6463.9059520000001</v>
      </c>
    </row>
    <row r="182" spans="1:4" s="1" customFormat="1" ht="19.75" customHeight="1" x14ac:dyDescent="0.25">
      <c r="A182" s="8">
        <f>2024</f>
        <v>2024</v>
      </c>
      <c r="B182" s="3" t="s">
        <v>86</v>
      </c>
      <c r="C182" s="4">
        <v>1387.8809000000001</v>
      </c>
      <c r="D182" s="5">
        <v>1631.9123999999999</v>
      </c>
    </row>
    <row r="183" spans="1:4" s="1" customFormat="1" ht="19.75" customHeight="1" x14ac:dyDescent="0.25">
      <c r="A183" s="8">
        <f>2024</f>
        <v>2024</v>
      </c>
      <c r="B183" s="3" t="s">
        <v>87</v>
      </c>
      <c r="C183" s="6">
        <v>3178.4115000000002</v>
      </c>
      <c r="D183" s="7">
        <v>3578.7548999999999</v>
      </c>
    </row>
    <row r="184" spans="1:4" s="1" customFormat="1" ht="19.75" customHeight="1" x14ac:dyDescent="0.25">
      <c r="A184" s="8">
        <f>2024</f>
        <v>2024</v>
      </c>
      <c r="B184" s="3" t="s">
        <v>88</v>
      </c>
      <c r="C184" s="4">
        <v>165.10804200000001</v>
      </c>
      <c r="D184" s="5">
        <v>1835.7966289999999</v>
      </c>
    </row>
    <row r="185" spans="1:4" s="1" customFormat="1" ht="19.75" customHeight="1" x14ac:dyDescent="0.25">
      <c r="A185" s="8">
        <f>2024</f>
        <v>2024</v>
      </c>
      <c r="B185" s="3" t="s">
        <v>89</v>
      </c>
      <c r="C185" s="6">
        <v>150.04599999999999</v>
      </c>
      <c r="D185" s="7">
        <v>1478.3811000000001</v>
      </c>
    </row>
    <row r="186" spans="1:4" s="1" customFormat="1" ht="19.75" customHeight="1" x14ac:dyDescent="0.25">
      <c r="A186" s="8">
        <f>2024</f>
        <v>2024</v>
      </c>
      <c r="B186" s="3" t="s">
        <v>90</v>
      </c>
      <c r="C186" s="4">
        <v>607.57590000000005</v>
      </c>
      <c r="D186" s="5">
        <v>1265.2909</v>
      </c>
    </row>
    <row r="187" spans="1:4" s="1" customFormat="1" ht="19.75" customHeight="1" x14ac:dyDescent="0.25">
      <c r="A187" s="8">
        <f>2024</f>
        <v>2024</v>
      </c>
      <c r="B187" s="3" t="s">
        <v>91</v>
      </c>
      <c r="C187" s="6">
        <v>493.38560000000001</v>
      </c>
      <c r="D187" s="7">
        <v>2522.1486</v>
      </c>
    </row>
    <row r="188" spans="1:4" s="1" customFormat="1" ht="19.75" customHeight="1" x14ac:dyDescent="0.25">
      <c r="A188" s="8">
        <f>2023</f>
        <v>2023</v>
      </c>
      <c r="B188" s="3" t="s">
        <v>0</v>
      </c>
      <c r="C188" s="4">
        <v>89588.540699999998</v>
      </c>
      <c r="D188" s="5">
        <v>99614.376600000003</v>
      </c>
    </row>
    <row r="189" spans="1:4" s="1" customFormat="1" ht="19.75" customHeight="1" x14ac:dyDescent="0.25">
      <c r="A189" s="8">
        <f>2023</f>
        <v>2023</v>
      </c>
      <c r="B189" s="3" t="s">
        <v>1</v>
      </c>
      <c r="C189" s="6">
        <v>47647.722300000001</v>
      </c>
      <c r="D189" s="7">
        <v>54747.612699999998</v>
      </c>
    </row>
    <row r="190" spans="1:4" s="1" customFormat="1" ht="19.75" customHeight="1" x14ac:dyDescent="0.25">
      <c r="A190" s="8">
        <f>2023</f>
        <v>2023</v>
      </c>
      <c r="B190" s="3" t="s">
        <v>2</v>
      </c>
      <c r="C190" s="4">
        <v>15898.4586</v>
      </c>
      <c r="D190" s="5">
        <v>18178.729299999999</v>
      </c>
    </row>
    <row r="191" spans="1:4" s="1" customFormat="1" ht="19.75" customHeight="1" x14ac:dyDescent="0.25">
      <c r="A191" s="8">
        <f>2023</f>
        <v>2023</v>
      </c>
      <c r="B191" s="3" t="s">
        <v>3</v>
      </c>
      <c r="C191" s="6">
        <v>84424.782200000001</v>
      </c>
      <c r="D191" s="7">
        <v>103186.98480000001</v>
      </c>
    </row>
    <row r="192" spans="1:4" s="1" customFormat="1" ht="19.75" customHeight="1" x14ac:dyDescent="0.25">
      <c r="A192" s="8">
        <f>2023</f>
        <v>2023</v>
      </c>
      <c r="B192" s="3" t="s">
        <v>4</v>
      </c>
      <c r="C192" s="4">
        <v>25541.8923</v>
      </c>
      <c r="D192" s="5">
        <v>29625.600600000002</v>
      </c>
    </row>
    <row r="193" spans="1:4" s="1" customFormat="1" ht="19.75" customHeight="1" x14ac:dyDescent="0.25">
      <c r="A193" s="8">
        <f>2023</f>
        <v>2023</v>
      </c>
      <c r="B193" s="3" t="s">
        <v>5</v>
      </c>
      <c r="C193" s="6">
        <v>44942.212899999999</v>
      </c>
      <c r="D193" s="7">
        <v>52085.275500000003</v>
      </c>
    </row>
    <row r="194" spans="1:4" s="1" customFormat="1" ht="19.75" customHeight="1" x14ac:dyDescent="0.25">
      <c r="A194" s="8">
        <f>2023</f>
        <v>2023</v>
      </c>
      <c r="B194" s="3" t="s">
        <v>6</v>
      </c>
      <c r="C194" s="4">
        <v>19400.3262</v>
      </c>
      <c r="D194" s="5">
        <v>23509.0743</v>
      </c>
    </row>
    <row r="195" spans="1:4" s="1" customFormat="1" ht="19.75" customHeight="1" x14ac:dyDescent="0.25">
      <c r="A195" s="8">
        <f>2023</f>
        <v>2023</v>
      </c>
      <c r="B195" s="3" t="s">
        <v>7</v>
      </c>
      <c r="C195" s="6">
        <v>7992.7313999999997</v>
      </c>
      <c r="D195" s="7">
        <v>8932.6916999999994</v>
      </c>
    </row>
    <row r="196" spans="1:4" s="1" customFormat="1" ht="19.75" customHeight="1" x14ac:dyDescent="0.25">
      <c r="A196" s="8">
        <f>2023</f>
        <v>2023</v>
      </c>
      <c r="B196" s="3" t="s">
        <v>8</v>
      </c>
      <c r="C196" s="4">
        <v>85144.111300000004</v>
      </c>
      <c r="D196" s="5">
        <v>97286.642600000006</v>
      </c>
    </row>
    <row r="197" spans="1:4" s="1" customFormat="1" ht="19.75" customHeight="1" x14ac:dyDescent="0.25">
      <c r="A197" s="8">
        <f>2023</f>
        <v>2023</v>
      </c>
      <c r="B197" s="3" t="s">
        <v>9</v>
      </c>
      <c r="C197" s="6">
        <v>332103.06020000001</v>
      </c>
      <c r="D197" s="7">
        <v>368718.65779999999</v>
      </c>
    </row>
    <row r="198" spans="1:4" s="1" customFormat="1" ht="19.75" customHeight="1" x14ac:dyDescent="0.25">
      <c r="A198" s="8">
        <f>2023</f>
        <v>2023</v>
      </c>
      <c r="B198" s="3" t="s">
        <v>10</v>
      </c>
      <c r="C198" s="4">
        <v>17650.5183</v>
      </c>
      <c r="D198" s="5">
        <v>20158.9764</v>
      </c>
    </row>
    <row r="199" spans="1:4" s="1" customFormat="1" ht="19.75" customHeight="1" x14ac:dyDescent="0.25">
      <c r="A199" s="8">
        <f>2023</f>
        <v>2023</v>
      </c>
      <c r="B199" s="3" t="s">
        <v>11</v>
      </c>
      <c r="C199" s="6">
        <v>80743.338600000003</v>
      </c>
      <c r="D199" s="7">
        <v>95376.491599999994</v>
      </c>
    </row>
    <row r="200" spans="1:4" s="1" customFormat="1" ht="19.75" customHeight="1" x14ac:dyDescent="0.25">
      <c r="A200" s="8">
        <f>2023</f>
        <v>2023</v>
      </c>
      <c r="B200" s="3" t="s">
        <v>12</v>
      </c>
      <c r="C200" s="4">
        <v>85163.765599999999</v>
      </c>
      <c r="D200" s="5">
        <v>101307.1851</v>
      </c>
    </row>
    <row r="201" spans="1:4" s="1" customFormat="1" ht="19.75" customHeight="1" x14ac:dyDescent="0.25">
      <c r="A201" s="8">
        <f>2023</f>
        <v>2023</v>
      </c>
      <c r="B201" s="3" t="s">
        <v>13</v>
      </c>
      <c r="C201" s="6">
        <v>15904.6996</v>
      </c>
      <c r="D201" s="7">
        <v>18373.2503</v>
      </c>
    </row>
    <row r="202" spans="1:4" s="1" customFormat="1" ht="19.75" customHeight="1" x14ac:dyDescent="0.25">
      <c r="A202" s="8">
        <f>2023</f>
        <v>2023</v>
      </c>
      <c r="B202" s="3" t="s">
        <v>14</v>
      </c>
      <c r="C202" s="4">
        <v>4714.3370999999997</v>
      </c>
      <c r="D202" s="5">
        <v>5524.6963999999998</v>
      </c>
    </row>
    <row r="203" spans="1:4" s="1" customFormat="1" ht="19.75" customHeight="1" x14ac:dyDescent="0.25">
      <c r="A203" s="8">
        <f>2023</f>
        <v>2023</v>
      </c>
      <c r="B203" s="3" t="s">
        <v>15</v>
      </c>
      <c r="C203" s="6">
        <v>2319.6534000000001</v>
      </c>
      <c r="D203" s="7">
        <v>2635.3343</v>
      </c>
    </row>
    <row r="204" spans="1:4" s="1" customFormat="1" ht="19.75" customHeight="1" x14ac:dyDescent="0.25">
      <c r="A204" s="8">
        <f>2023</f>
        <v>2023</v>
      </c>
      <c r="B204" s="3" t="s">
        <v>16</v>
      </c>
      <c r="C204" s="4">
        <v>4200.2709999999997</v>
      </c>
      <c r="D204" s="5">
        <v>4609.6614</v>
      </c>
    </row>
    <row r="205" spans="1:4" s="1" customFormat="1" ht="19.75" customHeight="1" x14ac:dyDescent="0.25">
      <c r="A205" s="8">
        <f>2023</f>
        <v>2023</v>
      </c>
      <c r="B205" s="3" t="s">
        <v>17</v>
      </c>
      <c r="C205" s="6">
        <v>1071.2371000000001</v>
      </c>
      <c r="D205" s="7">
        <v>1145.7541000000001</v>
      </c>
    </row>
    <row r="206" spans="1:4" s="1" customFormat="1" ht="19.75" customHeight="1" x14ac:dyDescent="0.25">
      <c r="A206" s="8">
        <f>2023</f>
        <v>2023</v>
      </c>
      <c r="B206" s="3" t="s">
        <v>18</v>
      </c>
      <c r="C206" s="4">
        <v>16803.6338</v>
      </c>
      <c r="D206" s="5">
        <v>19133.634399999999</v>
      </c>
    </row>
    <row r="207" spans="1:4" s="1" customFormat="1" ht="19.75" customHeight="1" x14ac:dyDescent="0.25">
      <c r="A207" s="8">
        <f>2023</f>
        <v>2023</v>
      </c>
      <c r="B207" s="3" t="s">
        <v>19</v>
      </c>
      <c r="C207" s="6">
        <v>161585.5367</v>
      </c>
      <c r="D207" s="7">
        <v>192800.36180000001</v>
      </c>
    </row>
    <row r="208" spans="1:4" s="1" customFormat="1" ht="19.75" customHeight="1" x14ac:dyDescent="0.25">
      <c r="A208" s="8">
        <f>2023</f>
        <v>2023</v>
      </c>
      <c r="B208" s="3" t="s">
        <v>20</v>
      </c>
      <c r="C208" s="4">
        <v>109231.338</v>
      </c>
      <c r="D208" s="5">
        <v>129062.7859</v>
      </c>
    </row>
    <row r="209" spans="1:4" s="1" customFormat="1" ht="19.75" customHeight="1" x14ac:dyDescent="0.25">
      <c r="A209" s="8">
        <f>2023</f>
        <v>2023</v>
      </c>
      <c r="B209" s="3" t="s">
        <v>21</v>
      </c>
      <c r="C209" s="6">
        <v>20569.783899999999</v>
      </c>
      <c r="D209" s="7">
        <v>24941.767599999999</v>
      </c>
    </row>
    <row r="210" spans="1:4" s="1" customFormat="1" ht="19.75" customHeight="1" x14ac:dyDescent="0.25">
      <c r="A210" s="8">
        <f>2023</f>
        <v>2023</v>
      </c>
      <c r="B210" s="3" t="s">
        <v>22</v>
      </c>
      <c r="C210" s="4">
        <v>22727.544610000001</v>
      </c>
      <c r="D210" s="5">
        <v>27194.512269999999</v>
      </c>
    </row>
    <row r="211" spans="1:4" s="1" customFormat="1" ht="19.75" customHeight="1" x14ac:dyDescent="0.25">
      <c r="A211" s="8">
        <f>2023</f>
        <v>2023</v>
      </c>
      <c r="B211" s="3" t="s">
        <v>23</v>
      </c>
      <c r="C211" s="6">
        <v>36367.912799999998</v>
      </c>
      <c r="D211" s="7">
        <v>44534.2834</v>
      </c>
    </row>
    <row r="212" spans="1:4" s="1" customFormat="1" ht="19.75" customHeight="1" x14ac:dyDescent="0.25">
      <c r="A212" s="8">
        <f>2023</f>
        <v>2023</v>
      </c>
      <c r="B212" s="3" t="s">
        <v>24</v>
      </c>
      <c r="C212" s="4">
        <v>9355.1062000000002</v>
      </c>
      <c r="D212" s="5">
        <v>10111.9169</v>
      </c>
    </row>
    <row r="213" spans="1:4" s="1" customFormat="1" ht="19.75" customHeight="1" x14ac:dyDescent="0.25">
      <c r="A213" s="8">
        <f>2023</f>
        <v>2023</v>
      </c>
      <c r="B213" s="3" t="s">
        <v>25</v>
      </c>
      <c r="C213" s="6">
        <v>7220.2312000000002</v>
      </c>
      <c r="D213" s="7">
        <v>8212.8065000000006</v>
      </c>
    </row>
    <row r="214" spans="1:4" s="1" customFormat="1" ht="19.75" customHeight="1" x14ac:dyDescent="0.25">
      <c r="A214" s="8">
        <f>2023</f>
        <v>2023</v>
      </c>
      <c r="B214" s="3" t="s">
        <v>26</v>
      </c>
      <c r="C214" s="4">
        <v>6516.5496910000002</v>
      </c>
      <c r="D214" s="5">
        <v>7675.4867670000003</v>
      </c>
    </row>
    <row r="215" spans="1:4" s="1" customFormat="1" ht="19.75" customHeight="1" x14ac:dyDescent="0.25">
      <c r="A215" s="8">
        <f>2023</f>
        <v>2023</v>
      </c>
      <c r="B215" s="3" t="s">
        <v>27</v>
      </c>
      <c r="C215" s="6">
        <v>34250.850899999998</v>
      </c>
      <c r="D215" s="7">
        <v>41333.9018</v>
      </c>
    </row>
    <row r="216" spans="1:4" s="1" customFormat="1" ht="19.75" customHeight="1" x14ac:dyDescent="0.25">
      <c r="A216" s="8">
        <f>2023</f>
        <v>2023</v>
      </c>
      <c r="B216" s="3" t="s">
        <v>28</v>
      </c>
      <c r="C216" s="4">
        <v>587.73391100000003</v>
      </c>
      <c r="D216" s="5">
        <v>602.55841799999996</v>
      </c>
    </row>
    <row r="217" spans="1:4" s="1" customFormat="1" ht="19.75" customHeight="1" x14ac:dyDescent="0.25">
      <c r="A217" s="8">
        <f>2023</f>
        <v>2023</v>
      </c>
      <c r="B217" s="3" t="s">
        <v>29</v>
      </c>
      <c r="C217" s="6">
        <v>9676.5733</v>
      </c>
      <c r="D217" s="7">
        <v>12166.0082</v>
      </c>
    </row>
    <row r="218" spans="1:4" s="1" customFormat="1" ht="19.75" customHeight="1" x14ac:dyDescent="0.25">
      <c r="A218" s="8">
        <f>2023</f>
        <v>2023</v>
      </c>
      <c r="B218" s="3" t="s">
        <v>30</v>
      </c>
      <c r="C218" s="4">
        <v>7233.1794</v>
      </c>
      <c r="D218" s="5">
        <v>8045.8068999999996</v>
      </c>
    </row>
    <row r="219" spans="1:4" s="1" customFormat="1" ht="19.75" customHeight="1" x14ac:dyDescent="0.25">
      <c r="A219" s="8">
        <f>2023</f>
        <v>2023</v>
      </c>
      <c r="B219" s="3" t="s">
        <v>31</v>
      </c>
      <c r="C219" s="6">
        <v>4081.0417980000002</v>
      </c>
      <c r="D219" s="7">
        <v>4710.1521290000001</v>
      </c>
    </row>
    <row r="220" spans="1:4" s="1" customFormat="1" ht="19.75" customHeight="1" x14ac:dyDescent="0.25">
      <c r="A220" s="8">
        <f>2023</f>
        <v>2023</v>
      </c>
      <c r="B220" s="3" t="s">
        <v>32</v>
      </c>
      <c r="C220" s="4">
        <v>22697.430400000001</v>
      </c>
      <c r="D220" s="5">
        <v>26382.487300000001</v>
      </c>
    </row>
    <row r="221" spans="1:4" s="1" customFormat="1" ht="19.75" customHeight="1" x14ac:dyDescent="0.25">
      <c r="A221" s="8">
        <f>2023</f>
        <v>2023</v>
      </c>
      <c r="B221" s="3" t="s">
        <v>92</v>
      </c>
      <c r="C221" s="6">
        <v>8.7022630000000003</v>
      </c>
      <c r="D221" s="7">
        <v>35.980646</v>
      </c>
    </row>
    <row r="222" spans="1:4" s="1" customFormat="1" ht="19.75" customHeight="1" x14ac:dyDescent="0.25">
      <c r="A222" s="8">
        <f>2023</f>
        <v>2023</v>
      </c>
      <c r="B222" s="3" t="s">
        <v>34</v>
      </c>
      <c r="C222" s="4">
        <v>602.65179999999998</v>
      </c>
      <c r="D222" s="5">
        <v>1862.0379</v>
      </c>
    </row>
    <row r="223" spans="1:4" s="1" customFormat="1" ht="30.4" customHeight="1" x14ac:dyDescent="0.25">
      <c r="A223" s="8">
        <f>2023</f>
        <v>2023</v>
      </c>
      <c r="B223" s="3" t="s">
        <v>35</v>
      </c>
      <c r="C223" s="6">
        <v>652.19960000000003</v>
      </c>
      <c r="D223" s="7">
        <v>620.04520000000002</v>
      </c>
    </row>
    <row r="224" spans="1:4" s="1" customFormat="1" ht="19.75" customHeight="1" x14ac:dyDescent="0.25">
      <c r="A224" s="8">
        <f>2023</f>
        <v>2023</v>
      </c>
      <c r="B224" s="3" t="s">
        <v>36</v>
      </c>
      <c r="C224" s="4">
        <v>3729.147367</v>
      </c>
      <c r="D224" s="5">
        <v>4007.5202949999998</v>
      </c>
    </row>
    <row r="225" spans="1:4" s="1" customFormat="1" ht="19.75" customHeight="1" x14ac:dyDescent="0.25">
      <c r="A225" s="8">
        <f>2023</f>
        <v>2023</v>
      </c>
      <c r="B225" s="3" t="s">
        <v>37</v>
      </c>
      <c r="C225" s="6">
        <v>145.8657</v>
      </c>
      <c r="D225" s="7">
        <v>165.06460000000001</v>
      </c>
    </row>
    <row r="226" spans="1:4" s="1" customFormat="1" ht="19.75" customHeight="1" x14ac:dyDescent="0.25">
      <c r="A226" s="8">
        <f>2023</f>
        <v>2023</v>
      </c>
      <c r="B226" s="3" t="s">
        <v>38</v>
      </c>
      <c r="C226" s="4">
        <v>40.929108999999997</v>
      </c>
      <c r="D226" s="5">
        <v>46.282164999999999</v>
      </c>
    </row>
    <row r="227" spans="1:4" s="1" customFormat="1" ht="19.75" customHeight="1" x14ac:dyDescent="0.25">
      <c r="A227" s="8">
        <f>2023</f>
        <v>2023</v>
      </c>
      <c r="B227" s="3" t="s">
        <v>39</v>
      </c>
      <c r="C227" s="6">
        <v>19.666599999999999</v>
      </c>
      <c r="D227" s="7">
        <v>55.258699999999997</v>
      </c>
    </row>
    <row r="228" spans="1:4" s="1" customFormat="1" ht="19.75" customHeight="1" x14ac:dyDescent="0.25">
      <c r="A228" s="8">
        <f>2023</f>
        <v>2023</v>
      </c>
      <c r="B228" s="3" t="s">
        <v>40</v>
      </c>
      <c r="C228" s="4">
        <v>140.7432</v>
      </c>
      <c r="D228" s="5">
        <v>154.1884</v>
      </c>
    </row>
    <row r="229" spans="1:4" s="1" customFormat="1" ht="19.75" customHeight="1" x14ac:dyDescent="0.25">
      <c r="A229" s="8">
        <f>2023</f>
        <v>2023</v>
      </c>
      <c r="B229" s="3" t="s">
        <v>41</v>
      </c>
      <c r="C229" s="6">
        <v>2303.0275999999999</v>
      </c>
      <c r="D229" s="7">
        <v>2676.6788000000001</v>
      </c>
    </row>
    <row r="230" spans="1:4" s="1" customFormat="1" ht="19.75" customHeight="1" x14ac:dyDescent="0.25">
      <c r="A230" s="8">
        <f>2023</f>
        <v>2023</v>
      </c>
      <c r="B230" s="3" t="s">
        <v>42</v>
      </c>
      <c r="C230" s="4">
        <v>2607.6147000000001</v>
      </c>
      <c r="D230" s="5">
        <v>2931.1057999999998</v>
      </c>
    </row>
    <row r="231" spans="1:4" s="1" customFormat="1" ht="19.75" customHeight="1" x14ac:dyDescent="0.25">
      <c r="A231" s="8">
        <f>2023</f>
        <v>2023</v>
      </c>
      <c r="B231" s="3" t="s">
        <v>43</v>
      </c>
      <c r="C231" s="6">
        <v>14264.99793</v>
      </c>
      <c r="D231" s="7">
        <v>28719.240379999999</v>
      </c>
    </row>
    <row r="232" spans="1:4" s="1" customFormat="1" ht="19.75" customHeight="1" x14ac:dyDescent="0.25">
      <c r="A232" s="8">
        <f>2023</f>
        <v>2023</v>
      </c>
      <c r="B232" s="3" t="s">
        <v>44</v>
      </c>
      <c r="C232" s="4">
        <v>142.1609</v>
      </c>
      <c r="D232" s="5">
        <v>169.17920000000001</v>
      </c>
    </row>
    <row r="233" spans="1:4" s="1" customFormat="1" ht="19.75" customHeight="1" x14ac:dyDescent="0.25">
      <c r="A233" s="8">
        <f>2023</f>
        <v>2023</v>
      </c>
      <c r="B233" s="3" t="s">
        <v>45</v>
      </c>
      <c r="C233" s="6">
        <v>799.47536300000002</v>
      </c>
      <c r="D233" s="7">
        <v>746.78952200000003</v>
      </c>
    </row>
    <row r="234" spans="1:4" s="1" customFormat="1" ht="19.75" customHeight="1" x14ac:dyDescent="0.25">
      <c r="A234" s="8">
        <f>2023</f>
        <v>2023</v>
      </c>
      <c r="B234" s="3" t="s">
        <v>93</v>
      </c>
      <c r="C234" s="4">
        <v>1394.9309000000001</v>
      </c>
      <c r="D234" s="5">
        <v>1324.9844000000001</v>
      </c>
    </row>
    <row r="235" spans="1:4" s="1" customFormat="1" ht="19.75" customHeight="1" x14ac:dyDescent="0.25">
      <c r="A235" s="8">
        <f>2023</f>
        <v>2023</v>
      </c>
      <c r="B235" s="3" t="s">
        <v>46</v>
      </c>
      <c r="C235" s="6">
        <v>163.26130000000001</v>
      </c>
      <c r="D235" s="7">
        <v>178.0479</v>
      </c>
    </row>
    <row r="236" spans="1:4" s="1" customFormat="1" ht="19.75" customHeight="1" x14ac:dyDescent="0.25">
      <c r="A236" s="8">
        <f>2023</f>
        <v>2023</v>
      </c>
      <c r="B236" s="3" t="s">
        <v>47</v>
      </c>
      <c r="C236" s="4">
        <v>5734.8931000000002</v>
      </c>
      <c r="D236" s="5">
        <v>6704.7964000000002</v>
      </c>
    </row>
    <row r="237" spans="1:4" s="1" customFormat="1" ht="19.75" customHeight="1" x14ac:dyDescent="0.25">
      <c r="A237" s="8">
        <f>2023</f>
        <v>2023</v>
      </c>
      <c r="B237" s="3" t="s">
        <v>48</v>
      </c>
      <c r="C237" s="6">
        <v>8517.8806999999997</v>
      </c>
      <c r="D237" s="7">
        <v>8993.9545999999991</v>
      </c>
    </row>
    <row r="238" spans="1:4" s="1" customFormat="1" ht="19.75" customHeight="1" x14ac:dyDescent="0.25">
      <c r="A238" s="8">
        <f>2023</f>
        <v>2023</v>
      </c>
      <c r="B238" s="3" t="s">
        <v>49</v>
      </c>
      <c r="C238" s="4">
        <v>72.227400000000003</v>
      </c>
      <c r="D238" s="5">
        <v>117.4258</v>
      </c>
    </row>
    <row r="239" spans="1:4" s="1" customFormat="1" ht="19.75" customHeight="1" x14ac:dyDescent="0.25">
      <c r="A239" s="8">
        <f>2023</f>
        <v>2023</v>
      </c>
      <c r="B239" s="3" t="s">
        <v>50</v>
      </c>
      <c r="C239" s="6">
        <v>290.84039999999999</v>
      </c>
      <c r="D239" s="7">
        <v>333.4742</v>
      </c>
    </row>
    <row r="240" spans="1:4" s="1" customFormat="1" ht="19.75" customHeight="1" x14ac:dyDescent="0.25">
      <c r="A240" s="8">
        <f>2023</f>
        <v>2023</v>
      </c>
      <c r="B240" s="3" t="s">
        <v>51</v>
      </c>
      <c r="C240" s="4">
        <v>557.36130000000003</v>
      </c>
      <c r="D240" s="5">
        <v>521.22370000000001</v>
      </c>
    </row>
    <row r="241" spans="1:4" s="1" customFormat="1" ht="19.75" customHeight="1" x14ac:dyDescent="0.25">
      <c r="A241" s="8">
        <f>2023</f>
        <v>2023</v>
      </c>
      <c r="B241" s="3" t="s">
        <v>52</v>
      </c>
      <c r="C241" s="6">
        <v>17.634599999999999</v>
      </c>
      <c r="D241" s="7">
        <v>43.790100000000002</v>
      </c>
    </row>
    <row r="242" spans="1:4" s="1" customFormat="1" ht="19.75" customHeight="1" x14ac:dyDescent="0.25">
      <c r="A242" s="8">
        <f>2023</f>
        <v>2023</v>
      </c>
      <c r="B242" s="3" t="s">
        <v>53</v>
      </c>
      <c r="C242" s="4">
        <v>219.4126</v>
      </c>
      <c r="D242" s="5">
        <v>230.57640000000001</v>
      </c>
    </row>
    <row r="243" spans="1:4" s="1" customFormat="1" ht="19.75" customHeight="1" x14ac:dyDescent="0.25">
      <c r="A243" s="8">
        <f>2023</f>
        <v>2023</v>
      </c>
      <c r="B243" s="3" t="s">
        <v>54</v>
      </c>
      <c r="C243" s="6">
        <v>44.905500000000004</v>
      </c>
      <c r="D243" s="7">
        <v>53.394399999999997</v>
      </c>
    </row>
    <row r="244" spans="1:4" s="1" customFormat="1" ht="19.75" customHeight="1" x14ac:dyDescent="0.25">
      <c r="A244" s="8">
        <f>2023</f>
        <v>2023</v>
      </c>
      <c r="B244" s="3" t="s">
        <v>55</v>
      </c>
      <c r="C244" s="4">
        <v>4827.7404999999999</v>
      </c>
      <c r="D244" s="5">
        <v>5704.8765999999996</v>
      </c>
    </row>
    <row r="245" spans="1:4" s="1" customFormat="1" ht="19.75" customHeight="1" x14ac:dyDescent="0.25">
      <c r="A245" s="8">
        <f>2023</f>
        <v>2023</v>
      </c>
      <c r="B245" s="3" t="s">
        <v>56</v>
      </c>
      <c r="C245" s="6">
        <v>10.571</v>
      </c>
      <c r="D245" s="7">
        <v>20.4621</v>
      </c>
    </row>
    <row r="246" spans="1:4" s="1" customFormat="1" ht="19.75" customHeight="1" x14ac:dyDescent="0.25">
      <c r="A246" s="8">
        <f>2023</f>
        <v>2023</v>
      </c>
      <c r="B246" s="3" t="s">
        <v>57</v>
      </c>
      <c r="C246" s="4">
        <v>167.45330000000001</v>
      </c>
      <c r="D246" s="5">
        <v>191.1585</v>
      </c>
    </row>
    <row r="247" spans="1:4" s="1" customFormat="1" ht="19.75" customHeight="1" x14ac:dyDescent="0.25">
      <c r="A247" s="8">
        <f>2023</f>
        <v>2023</v>
      </c>
      <c r="B247" s="3" t="s">
        <v>58</v>
      </c>
      <c r="C247" s="6">
        <v>159.11519999999999</v>
      </c>
      <c r="D247" s="7">
        <v>135.73269999999999</v>
      </c>
    </row>
    <row r="248" spans="1:4" s="1" customFormat="1" ht="19.75" customHeight="1" x14ac:dyDescent="0.25">
      <c r="A248" s="8">
        <f>2023</f>
        <v>2023</v>
      </c>
      <c r="B248" s="3" t="s">
        <v>94</v>
      </c>
      <c r="C248" s="4">
        <v>2.2328000000000001</v>
      </c>
      <c r="D248" s="5">
        <v>2.2496999999999998</v>
      </c>
    </row>
    <row r="249" spans="1:4" s="1" customFormat="1" ht="19.75" customHeight="1" x14ac:dyDescent="0.25">
      <c r="A249" s="8">
        <f>2023</f>
        <v>2023</v>
      </c>
      <c r="B249" s="3" t="s">
        <v>59</v>
      </c>
      <c r="C249" s="6">
        <v>87.087599999999995</v>
      </c>
      <c r="D249" s="7">
        <v>104.9477</v>
      </c>
    </row>
    <row r="250" spans="1:4" s="1" customFormat="1" ht="19.75" customHeight="1" x14ac:dyDescent="0.25">
      <c r="A250" s="8">
        <f>2023</f>
        <v>2023</v>
      </c>
      <c r="B250" s="3" t="s">
        <v>60</v>
      </c>
      <c r="C250" s="4">
        <v>1451.3622</v>
      </c>
      <c r="D250" s="5">
        <v>1777.73</v>
      </c>
    </row>
    <row r="251" spans="1:4" s="1" customFormat="1" ht="19.75" customHeight="1" x14ac:dyDescent="0.25">
      <c r="A251" s="8">
        <f>2023</f>
        <v>2023</v>
      </c>
      <c r="B251" s="3" t="s">
        <v>61</v>
      </c>
      <c r="C251" s="6">
        <v>1797.5244</v>
      </c>
      <c r="D251" s="7">
        <v>2246.9333999999999</v>
      </c>
    </row>
    <row r="252" spans="1:4" s="1" customFormat="1" ht="19.75" customHeight="1" x14ac:dyDescent="0.25">
      <c r="A252" s="8">
        <f>2023</f>
        <v>2023</v>
      </c>
      <c r="B252" s="3" t="s">
        <v>62</v>
      </c>
      <c r="C252" s="4">
        <v>190.50380000000001</v>
      </c>
      <c r="D252" s="5">
        <v>191.12379999999999</v>
      </c>
    </row>
    <row r="253" spans="1:4" s="1" customFormat="1" ht="19.75" customHeight="1" x14ac:dyDescent="0.25">
      <c r="A253" s="8">
        <f>2023</f>
        <v>2023</v>
      </c>
      <c r="B253" s="3" t="s">
        <v>64</v>
      </c>
      <c r="C253" s="6">
        <v>15.509497</v>
      </c>
      <c r="D253" s="7">
        <v>21.261320000000001</v>
      </c>
    </row>
    <row r="254" spans="1:4" s="1" customFormat="1" ht="19.75" customHeight="1" x14ac:dyDescent="0.25">
      <c r="A254" s="8">
        <f>2023</f>
        <v>2023</v>
      </c>
      <c r="B254" s="3" t="s">
        <v>65</v>
      </c>
      <c r="C254" s="4">
        <v>88.679199999999994</v>
      </c>
      <c r="D254" s="5">
        <v>100.8509</v>
      </c>
    </row>
    <row r="255" spans="1:4" s="1" customFormat="1" ht="19.75" customHeight="1" x14ac:dyDescent="0.25">
      <c r="A255" s="8">
        <f>2023</f>
        <v>2023</v>
      </c>
      <c r="B255" s="3" t="s">
        <v>66</v>
      </c>
      <c r="C255" s="6">
        <v>191.66050000000001</v>
      </c>
      <c r="D255" s="7">
        <v>712.064123</v>
      </c>
    </row>
    <row r="256" spans="1:4" s="1" customFormat="1" ht="19.75" customHeight="1" x14ac:dyDescent="0.25">
      <c r="A256" s="8">
        <f>2023</f>
        <v>2023</v>
      </c>
      <c r="B256" s="3" t="s">
        <v>67</v>
      </c>
      <c r="C256" s="4">
        <v>665.67079999999999</v>
      </c>
      <c r="D256" s="5">
        <v>867.01769999999999</v>
      </c>
    </row>
    <row r="257" spans="1:4" s="1" customFormat="1" ht="19.75" customHeight="1" x14ac:dyDescent="0.25">
      <c r="A257" s="8">
        <f>2023</f>
        <v>2023</v>
      </c>
      <c r="B257" s="3" t="s">
        <v>68</v>
      </c>
      <c r="C257" s="6">
        <v>738.2799</v>
      </c>
      <c r="D257" s="7">
        <v>824.98919999999998</v>
      </c>
    </row>
    <row r="258" spans="1:4" s="1" customFormat="1" ht="19.75" customHeight="1" x14ac:dyDescent="0.25">
      <c r="A258" s="8">
        <f>2023</f>
        <v>2023</v>
      </c>
      <c r="B258" s="3" t="s">
        <v>69</v>
      </c>
      <c r="C258" s="4">
        <v>427.30110000000002</v>
      </c>
      <c r="D258" s="5">
        <v>421.70830000000001</v>
      </c>
    </row>
    <row r="259" spans="1:4" s="1" customFormat="1" ht="19.75" customHeight="1" x14ac:dyDescent="0.25">
      <c r="A259" s="8">
        <f>2023</f>
        <v>2023</v>
      </c>
      <c r="B259" s="3" t="s">
        <v>95</v>
      </c>
      <c r="C259" s="6">
        <v>6.3742000000000001</v>
      </c>
      <c r="D259" s="7">
        <v>19.601800000000001</v>
      </c>
    </row>
    <row r="260" spans="1:4" s="1" customFormat="1" ht="19.75" customHeight="1" x14ac:dyDescent="0.25">
      <c r="A260" s="8">
        <f>2023</f>
        <v>2023</v>
      </c>
      <c r="B260" s="3" t="s">
        <v>71</v>
      </c>
      <c r="C260" s="4">
        <v>12313.62622</v>
      </c>
      <c r="D260" s="5">
        <v>14337.20342</v>
      </c>
    </row>
    <row r="261" spans="1:4" s="1" customFormat="1" ht="19.75" customHeight="1" x14ac:dyDescent="0.25">
      <c r="A261" s="8">
        <f>2023</f>
        <v>2023</v>
      </c>
      <c r="B261" s="3" t="s">
        <v>72</v>
      </c>
      <c r="C261" s="6">
        <v>1723.0470029999999</v>
      </c>
      <c r="D261" s="7">
        <v>2002.615274</v>
      </c>
    </row>
    <row r="262" spans="1:4" s="1" customFormat="1" ht="30.4" customHeight="1" x14ac:dyDescent="0.25">
      <c r="A262" s="8">
        <f>2023</f>
        <v>2023</v>
      </c>
      <c r="B262" s="3" t="s">
        <v>73</v>
      </c>
      <c r="C262" s="4">
        <v>15602.761399999999</v>
      </c>
      <c r="D262" s="5">
        <v>17333.7683</v>
      </c>
    </row>
    <row r="263" spans="1:4" s="1" customFormat="1" ht="19.75" customHeight="1" x14ac:dyDescent="0.25">
      <c r="A263" s="8">
        <f>2023</f>
        <v>2023</v>
      </c>
      <c r="B263" s="3" t="s">
        <v>75</v>
      </c>
      <c r="C263" s="6">
        <v>67.109499999999997</v>
      </c>
      <c r="D263" s="7">
        <v>77.605099999999993</v>
      </c>
    </row>
    <row r="264" spans="1:4" s="1" customFormat="1" ht="19.75" customHeight="1" x14ac:dyDescent="0.25">
      <c r="A264" s="8">
        <f>2023</f>
        <v>2023</v>
      </c>
      <c r="B264" s="3" t="s">
        <v>76</v>
      </c>
      <c r="C264" s="4">
        <v>311.12490000000003</v>
      </c>
      <c r="D264" s="5">
        <v>347.43950000000001</v>
      </c>
    </row>
    <row r="265" spans="1:4" s="1" customFormat="1" ht="19.75" customHeight="1" x14ac:dyDescent="0.25">
      <c r="A265" s="8">
        <f>2023</f>
        <v>2023</v>
      </c>
      <c r="B265" s="3" t="s">
        <v>77</v>
      </c>
      <c r="C265" s="6">
        <v>8205.4083159999991</v>
      </c>
      <c r="D265" s="7">
        <v>9239.8725809999996</v>
      </c>
    </row>
    <row r="266" spans="1:4" s="1" customFormat="1" ht="19.75" customHeight="1" x14ac:dyDescent="0.25">
      <c r="A266" s="8">
        <f>2023</f>
        <v>2023</v>
      </c>
      <c r="B266" s="3" t="s">
        <v>78</v>
      </c>
      <c r="C266" s="4">
        <v>676.00750000000005</v>
      </c>
      <c r="D266" s="5">
        <v>725.48230000000001</v>
      </c>
    </row>
    <row r="267" spans="1:4" s="1" customFormat="1" ht="19.75" customHeight="1" x14ac:dyDescent="0.25">
      <c r="A267" s="8">
        <f>2023</f>
        <v>2023</v>
      </c>
      <c r="B267" s="3" t="s">
        <v>79</v>
      </c>
      <c r="C267" s="6">
        <v>4161.8780999999999</v>
      </c>
      <c r="D267" s="7">
        <v>4831.4638000000004</v>
      </c>
    </row>
    <row r="268" spans="1:4" s="1" customFormat="1" ht="19.75" customHeight="1" x14ac:dyDescent="0.25">
      <c r="A268" s="8">
        <f>2023</f>
        <v>2023</v>
      </c>
      <c r="B268" s="3" t="s">
        <v>80</v>
      </c>
      <c r="C268" s="4">
        <v>2853.598</v>
      </c>
      <c r="D268" s="5">
        <v>3141.5722000000001</v>
      </c>
    </row>
    <row r="269" spans="1:4" s="1" customFormat="1" ht="19.75" customHeight="1" x14ac:dyDescent="0.25">
      <c r="A269" s="8">
        <f>2023</f>
        <v>2023</v>
      </c>
      <c r="B269" s="3" t="s">
        <v>96</v>
      </c>
      <c r="C269" s="6">
        <v>1744.1206179999999</v>
      </c>
      <c r="D269" s="7">
        <v>1970.797615</v>
      </c>
    </row>
    <row r="270" spans="1:4" s="1" customFormat="1" ht="19.75" customHeight="1" x14ac:dyDescent="0.25">
      <c r="A270" s="8">
        <f>2023</f>
        <v>2023</v>
      </c>
      <c r="B270" s="3" t="s">
        <v>81</v>
      </c>
      <c r="C270" s="4">
        <v>3075.0102999999999</v>
      </c>
      <c r="D270" s="5">
        <v>3699.875</v>
      </c>
    </row>
    <row r="271" spans="1:4" s="1" customFormat="1" ht="19.75" customHeight="1" x14ac:dyDescent="0.25">
      <c r="A271" s="8">
        <f>2023</f>
        <v>2023</v>
      </c>
      <c r="B271" s="3" t="s">
        <v>82</v>
      </c>
      <c r="C271" s="6">
        <v>297.68669999999997</v>
      </c>
      <c r="D271" s="7">
        <v>335.27820000000003</v>
      </c>
    </row>
    <row r="272" spans="1:4" s="1" customFormat="1" ht="19.75" customHeight="1" x14ac:dyDescent="0.25">
      <c r="A272" s="8">
        <f>2023</f>
        <v>2023</v>
      </c>
      <c r="B272" s="3" t="s">
        <v>83</v>
      </c>
      <c r="C272" s="4">
        <v>203.6242</v>
      </c>
      <c r="D272" s="5">
        <v>218.7243</v>
      </c>
    </row>
    <row r="273" spans="1:4" s="1" customFormat="1" ht="19.75" customHeight="1" x14ac:dyDescent="0.25">
      <c r="A273" s="8">
        <f>2023</f>
        <v>2023</v>
      </c>
      <c r="B273" s="3" t="s">
        <v>84</v>
      </c>
      <c r="C273" s="6">
        <v>1183.6820760000001</v>
      </c>
      <c r="D273" s="7">
        <v>1281.104497</v>
      </c>
    </row>
    <row r="274" spans="1:4" s="1" customFormat="1" ht="19.75" customHeight="1" x14ac:dyDescent="0.25">
      <c r="A274" s="8">
        <f>2023</f>
        <v>2023</v>
      </c>
      <c r="B274" s="3" t="s">
        <v>85</v>
      </c>
      <c r="C274" s="4">
        <v>4164.9947000000002</v>
      </c>
      <c r="D274" s="5">
        <v>4754.1855999999998</v>
      </c>
    </row>
    <row r="275" spans="1:4" s="1" customFormat="1" ht="19.75" customHeight="1" x14ac:dyDescent="0.25">
      <c r="A275" s="8">
        <f>2023</f>
        <v>2023</v>
      </c>
      <c r="B275" s="3" t="s">
        <v>86</v>
      </c>
      <c r="C275" s="6">
        <v>734.69550000000004</v>
      </c>
      <c r="D275" s="7">
        <v>803.31089999999995</v>
      </c>
    </row>
    <row r="276" spans="1:4" s="1" customFormat="1" ht="19.75" customHeight="1" x14ac:dyDescent="0.25">
      <c r="A276" s="8">
        <f>2023</f>
        <v>2023</v>
      </c>
      <c r="B276" s="3" t="s">
        <v>87</v>
      </c>
      <c r="C276" s="4">
        <v>2504.9798000000001</v>
      </c>
      <c r="D276" s="5">
        <v>2804.2860000000001</v>
      </c>
    </row>
    <row r="277" spans="1:4" s="1" customFormat="1" ht="19.75" customHeight="1" x14ac:dyDescent="0.25">
      <c r="A277" s="8">
        <f>2023</f>
        <v>2023</v>
      </c>
      <c r="B277" s="3" t="s">
        <v>88</v>
      </c>
      <c r="C277" s="6">
        <v>96.134212000000005</v>
      </c>
      <c r="D277" s="7">
        <v>1291.0798789999999</v>
      </c>
    </row>
    <row r="278" spans="1:4" s="1" customFormat="1" ht="19.75" customHeight="1" x14ac:dyDescent="0.25">
      <c r="A278" s="8">
        <f>2023</f>
        <v>2023</v>
      </c>
      <c r="B278" s="3" t="s">
        <v>89</v>
      </c>
      <c r="C278" s="4">
        <v>94.864900000000006</v>
      </c>
      <c r="D278" s="5">
        <v>1229.9132999999999</v>
      </c>
    </row>
    <row r="279" spans="1:4" s="1" customFormat="1" ht="19.75" customHeight="1" x14ac:dyDescent="0.25">
      <c r="A279" s="8">
        <f>2023</f>
        <v>2023</v>
      </c>
      <c r="B279" s="3" t="s">
        <v>90</v>
      </c>
      <c r="C279" s="6">
        <v>279.05220000000003</v>
      </c>
      <c r="D279" s="7">
        <v>766.15020000000004</v>
      </c>
    </row>
    <row r="280" spans="1:4" s="1" customFormat="1" ht="19.75" customHeight="1" x14ac:dyDescent="0.25">
      <c r="A280" s="8">
        <f>2023</f>
        <v>2023</v>
      </c>
      <c r="B280" s="3" t="s">
        <v>91</v>
      </c>
      <c r="C280" s="4">
        <v>390.2346</v>
      </c>
      <c r="D280" s="5">
        <v>2678.2401</v>
      </c>
    </row>
    <row r="281" spans="1:4" s="1" customFormat="1" ht="19.75" customHeight="1" x14ac:dyDescent="0.25">
      <c r="A281" s="8">
        <f>2022</f>
        <v>2022</v>
      </c>
      <c r="B281" s="3" t="s">
        <v>0</v>
      </c>
      <c r="C281" s="6">
        <v>69880.780299999999</v>
      </c>
      <c r="D281" s="7">
        <v>81364.730599999995</v>
      </c>
    </row>
    <row r="282" spans="1:4" s="1" customFormat="1" ht="19.75" customHeight="1" x14ac:dyDescent="0.25">
      <c r="A282" s="8">
        <f>2022</f>
        <v>2022</v>
      </c>
      <c r="B282" s="3" t="s">
        <v>1</v>
      </c>
      <c r="C282" s="4">
        <v>38075.825900000003</v>
      </c>
      <c r="D282" s="5">
        <v>45954.5576</v>
      </c>
    </row>
    <row r="283" spans="1:4" s="1" customFormat="1" ht="19.75" customHeight="1" x14ac:dyDescent="0.25">
      <c r="A283" s="8">
        <f>2022</f>
        <v>2022</v>
      </c>
      <c r="B283" s="3" t="s">
        <v>2</v>
      </c>
      <c r="C283" s="6">
        <v>13019.2199</v>
      </c>
      <c r="D283" s="7">
        <v>15671.699199999999</v>
      </c>
    </row>
    <row r="284" spans="1:4" s="1" customFormat="1" ht="19.75" customHeight="1" x14ac:dyDescent="0.25">
      <c r="A284" s="8">
        <f>2022</f>
        <v>2022</v>
      </c>
      <c r="B284" s="3" t="s">
        <v>3</v>
      </c>
      <c r="C284" s="4">
        <v>69410.239300000001</v>
      </c>
      <c r="D284" s="5">
        <v>85907.143500000006</v>
      </c>
    </row>
    <row r="285" spans="1:4" s="1" customFormat="1" ht="19.75" customHeight="1" x14ac:dyDescent="0.25">
      <c r="A285" s="8">
        <f>2022</f>
        <v>2022</v>
      </c>
      <c r="B285" s="3" t="s">
        <v>4</v>
      </c>
      <c r="C285" s="6">
        <v>22801.6476</v>
      </c>
      <c r="D285" s="7">
        <v>25770.131600000001</v>
      </c>
    </row>
    <row r="286" spans="1:4" s="1" customFormat="1" ht="19.75" customHeight="1" x14ac:dyDescent="0.25">
      <c r="A286" s="8">
        <f>2022</f>
        <v>2022</v>
      </c>
      <c r="B286" s="3" t="s">
        <v>5</v>
      </c>
      <c r="C286" s="4">
        <v>38856.220699999998</v>
      </c>
      <c r="D286" s="5">
        <v>45771.670400000003</v>
      </c>
    </row>
    <row r="287" spans="1:4" s="1" customFormat="1" ht="19.75" customHeight="1" x14ac:dyDescent="0.25">
      <c r="A287" s="8">
        <f>2022</f>
        <v>2022</v>
      </c>
      <c r="B287" s="3" t="s">
        <v>6</v>
      </c>
      <c r="C287" s="6">
        <v>16729.8662</v>
      </c>
      <c r="D287" s="7">
        <v>21632.8861</v>
      </c>
    </row>
    <row r="288" spans="1:4" s="1" customFormat="1" ht="19.75" customHeight="1" x14ac:dyDescent="0.25">
      <c r="A288" s="8">
        <f>2022</f>
        <v>2022</v>
      </c>
      <c r="B288" s="3" t="s">
        <v>7</v>
      </c>
      <c r="C288" s="4">
        <v>7095.8101999999999</v>
      </c>
      <c r="D288" s="5">
        <v>8055.1887999999999</v>
      </c>
    </row>
    <row r="289" spans="1:4" s="1" customFormat="1" ht="19.75" customHeight="1" x14ac:dyDescent="0.25">
      <c r="A289" s="8">
        <f>2022</f>
        <v>2022</v>
      </c>
      <c r="B289" s="3" t="s">
        <v>8</v>
      </c>
      <c r="C289" s="6">
        <v>74879.536900000006</v>
      </c>
      <c r="D289" s="7">
        <v>87199.4948</v>
      </c>
    </row>
    <row r="290" spans="1:4" s="1" customFormat="1" ht="19.75" customHeight="1" x14ac:dyDescent="0.25">
      <c r="A290" s="8">
        <f>2022</f>
        <v>2022</v>
      </c>
      <c r="B290" s="3" t="s">
        <v>9</v>
      </c>
      <c r="C290" s="4">
        <v>275457.2904</v>
      </c>
      <c r="D290" s="5">
        <v>316021.20439999999</v>
      </c>
    </row>
    <row r="291" spans="1:4" s="1" customFormat="1" ht="19.75" customHeight="1" x14ac:dyDescent="0.25">
      <c r="A291" s="8">
        <f>2022</f>
        <v>2022</v>
      </c>
      <c r="B291" s="3" t="s">
        <v>10</v>
      </c>
      <c r="C291" s="6">
        <v>14981.3388</v>
      </c>
      <c r="D291" s="7">
        <v>18082.145700000001</v>
      </c>
    </row>
    <row r="292" spans="1:4" s="1" customFormat="1" ht="19.75" customHeight="1" x14ac:dyDescent="0.25">
      <c r="A292" s="8">
        <f>2022</f>
        <v>2022</v>
      </c>
      <c r="B292" s="3" t="s">
        <v>11</v>
      </c>
      <c r="C292" s="4">
        <v>67943.950800000006</v>
      </c>
      <c r="D292" s="5">
        <v>80468.767999999996</v>
      </c>
    </row>
    <row r="293" spans="1:4" s="1" customFormat="1" ht="19.75" customHeight="1" x14ac:dyDescent="0.25">
      <c r="A293" s="8">
        <f>2022</f>
        <v>2022</v>
      </c>
      <c r="B293" s="3" t="s">
        <v>12</v>
      </c>
      <c r="C293" s="6">
        <v>67376.829599999997</v>
      </c>
      <c r="D293" s="7">
        <v>82597.374899999995</v>
      </c>
    </row>
    <row r="294" spans="1:4" s="1" customFormat="1" ht="19.75" customHeight="1" x14ac:dyDescent="0.25">
      <c r="A294" s="8">
        <f>2022</f>
        <v>2022</v>
      </c>
      <c r="B294" s="3" t="s">
        <v>13</v>
      </c>
      <c r="C294" s="4">
        <v>13871.566199999999</v>
      </c>
      <c r="D294" s="5">
        <v>16694.065500000001</v>
      </c>
    </row>
    <row r="295" spans="1:4" s="1" customFormat="1" ht="19.75" customHeight="1" x14ac:dyDescent="0.25">
      <c r="A295" s="8">
        <f>2022</f>
        <v>2022</v>
      </c>
      <c r="B295" s="3" t="s">
        <v>14</v>
      </c>
      <c r="C295" s="6">
        <v>4104.7785000000003</v>
      </c>
      <c r="D295" s="7">
        <v>4863.8629000000001</v>
      </c>
    </row>
    <row r="296" spans="1:4" s="1" customFormat="1" ht="19.75" customHeight="1" x14ac:dyDescent="0.25">
      <c r="A296" s="8">
        <f>2022</f>
        <v>2022</v>
      </c>
      <c r="B296" s="3" t="s">
        <v>15</v>
      </c>
      <c r="C296" s="4">
        <v>2038.3113000000001</v>
      </c>
      <c r="D296" s="5">
        <v>2285.1113</v>
      </c>
    </row>
    <row r="297" spans="1:4" s="1" customFormat="1" ht="19.75" customHeight="1" x14ac:dyDescent="0.25">
      <c r="A297" s="8">
        <f>2022</f>
        <v>2022</v>
      </c>
      <c r="B297" s="3" t="s">
        <v>16</v>
      </c>
      <c r="C297" s="6">
        <v>3512.7649999999999</v>
      </c>
      <c r="D297" s="7">
        <v>3964.8042</v>
      </c>
    </row>
    <row r="298" spans="1:4" s="1" customFormat="1" ht="19.75" customHeight="1" x14ac:dyDescent="0.25">
      <c r="A298" s="8">
        <f>2022</f>
        <v>2022</v>
      </c>
      <c r="B298" s="3" t="s">
        <v>17</v>
      </c>
      <c r="C298" s="4">
        <v>916.63750000000005</v>
      </c>
      <c r="D298" s="5">
        <v>1085.7556</v>
      </c>
    </row>
    <row r="299" spans="1:4" s="1" customFormat="1" ht="19.75" customHeight="1" x14ac:dyDescent="0.25">
      <c r="A299" s="8">
        <f>2022</f>
        <v>2022</v>
      </c>
      <c r="B299" s="3" t="s">
        <v>18</v>
      </c>
      <c r="C299" s="6">
        <v>13660.752899999999</v>
      </c>
      <c r="D299" s="7">
        <v>15749.8464</v>
      </c>
    </row>
    <row r="300" spans="1:4" s="1" customFormat="1" ht="19.75" customHeight="1" x14ac:dyDescent="0.25">
      <c r="A300" s="8">
        <f>2022</f>
        <v>2022</v>
      </c>
      <c r="B300" s="3" t="s">
        <v>19</v>
      </c>
      <c r="C300" s="4">
        <v>127753.1191</v>
      </c>
      <c r="D300" s="5">
        <v>157263.01949999999</v>
      </c>
    </row>
    <row r="301" spans="1:4" s="1" customFormat="1" ht="19.75" customHeight="1" x14ac:dyDescent="0.25">
      <c r="A301" s="8">
        <f>2022</f>
        <v>2022</v>
      </c>
      <c r="B301" s="3" t="s">
        <v>20</v>
      </c>
      <c r="C301" s="6">
        <v>86374.545199999993</v>
      </c>
      <c r="D301" s="7">
        <v>104892.0751</v>
      </c>
    </row>
    <row r="302" spans="1:4" s="1" customFormat="1" ht="19.75" customHeight="1" x14ac:dyDescent="0.25">
      <c r="A302" s="8">
        <f>2022</f>
        <v>2022</v>
      </c>
      <c r="B302" s="3" t="s">
        <v>21</v>
      </c>
      <c r="C302" s="4">
        <v>18291.907212999999</v>
      </c>
      <c r="D302" s="5">
        <v>22981.802594000001</v>
      </c>
    </row>
    <row r="303" spans="1:4" s="1" customFormat="1" ht="19.75" customHeight="1" x14ac:dyDescent="0.25">
      <c r="A303" s="8">
        <f>2022</f>
        <v>2022</v>
      </c>
      <c r="B303" s="3" t="s">
        <v>22</v>
      </c>
      <c r="C303" s="6">
        <v>17172.683665</v>
      </c>
      <c r="D303" s="7">
        <v>20394.722183000002</v>
      </c>
    </row>
    <row r="304" spans="1:4" s="1" customFormat="1" ht="19.75" customHeight="1" x14ac:dyDescent="0.25">
      <c r="A304" s="8">
        <f>2022</f>
        <v>2022</v>
      </c>
      <c r="B304" s="3" t="s">
        <v>23</v>
      </c>
      <c r="C304" s="4">
        <v>30822.442299999999</v>
      </c>
      <c r="D304" s="5">
        <v>38156.641438999999</v>
      </c>
    </row>
    <row r="305" spans="1:4" s="1" customFormat="1" ht="19.75" customHeight="1" x14ac:dyDescent="0.25">
      <c r="A305" s="8">
        <f>2022</f>
        <v>2022</v>
      </c>
      <c r="B305" s="3" t="s">
        <v>24</v>
      </c>
      <c r="C305" s="6">
        <v>8013.4754000000003</v>
      </c>
      <c r="D305" s="7">
        <v>8757.4827999999998</v>
      </c>
    </row>
    <row r="306" spans="1:4" s="1" customFormat="1" ht="19.75" customHeight="1" x14ac:dyDescent="0.25">
      <c r="A306" s="8">
        <f>2022</f>
        <v>2022</v>
      </c>
      <c r="B306" s="3" t="s">
        <v>25</v>
      </c>
      <c r="C306" s="4">
        <v>6221.6637000000001</v>
      </c>
      <c r="D306" s="5">
        <v>7175.5406999999996</v>
      </c>
    </row>
    <row r="307" spans="1:4" s="1" customFormat="1" ht="19.75" customHeight="1" x14ac:dyDescent="0.25">
      <c r="A307" s="8">
        <f>2022</f>
        <v>2022</v>
      </c>
      <c r="B307" s="3" t="s">
        <v>26</v>
      </c>
      <c r="C307" s="6">
        <v>5587.6736890000002</v>
      </c>
      <c r="D307" s="7">
        <v>6356.7272229999999</v>
      </c>
    </row>
    <row r="308" spans="1:4" s="1" customFormat="1" ht="19.75" customHeight="1" x14ac:dyDescent="0.25">
      <c r="A308" s="8">
        <f>2022</f>
        <v>2022</v>
      </c>
      <c r="B308" s="3" t="s">
        <v>27</v>
      </c>
      <c r="C308" s="4">
        <v>27038.8194</v>
      </c>
      <c r="D308" s="5">
        <v>33393.1731</v>
      </c>
    </row>
    <row r="309" spans="1:4" s="1" customFormat="1" ht="19.75" customHeight="1" x14ac:dyDescent="0.25">
      <c r="A309" s="8">
        <f>2022</f>
        <v>2022</v>
      </c>
      <c r="B309" s="3" t="s">
        <v>28</v>
      </c>
      <c r="C309" s="6">
        <v>561.98839999999996</v>
      </c>
      <c r="D309" s="7">
        <v>602.62609999999995</v>
      </c>
    </row>
    <row r="310" spans="1:4" s="1" customFormat="1" ht="19.75" customHeight="1" x14ac:dyDescent="0.25">
      <c r="A310" s="8">
        <f>2022</f>
        <v>2022</v>
      </c>
      <c r="B310" s="3" t="s">
        <v>29</v>
      </c>
      <c r="C310" s="4">
        <v>8175.7879000000003</v>
      </c>
      <c r="D310" s="5">
        <v>10516.3195</v>
      </c>
    </row>
    <row r="311" spans="1:4" s="1" customFormat="1" ht="19.75" customHeight="1" x14ac:dyDescent="0.25">
      <c r="A311" s="8">
        <f>2022</f>
        <v>2022</v>
      </c>
      <c r="B311" s="3" t="s">
        <v>30</v>
      </c>
      <c r="C311" s="6">
        <v>6586.5375000000004</v>
      </c>
      <c r="D311" s="7">
        <v>7620.6405999999997</v>
      </c>
    </row>
    <row r="312" spans="1:4" s="1" customFormat="1" ht="19.75" customHeight="1" x14ac:dyDescent="0.25">
      <c r="A312" s="8">
        <f>2022</f>
        <v>2022</v>
      </c>
      <c r="B312" s="3" t="s">
        <v>31</v>
      </c>
      <c r="C312" s="4">
        <v>3833.8600999999999</v>
      </c>
      <c r="D312" s="5">
        <v>4646.1183000000001</v>
      </c>
    </row>
    <row r="313" spans="1:4" s="1" customFormat="1" ht="19.75" customHeight="1" x14ac:dyDescent="0.25">
      <c r="A313" s="8">
        <f>2022</f>
        <v>2022</v>
      </c>
      <c r="B313" s="3" t="s">
        <v>32</v>
      </c>
      <c r="C313" s="6">
        <v>19023.511299999998</v>
      </c>
      <c r="D313" s="7">
        <v>22285.980599999999</v>
      </c>
    </row>
    <row r="314" spans="1:4" s="1" customFormat="1" ht="19.75" customHeight="1" x14ac:dyDescent="0.25">
      <c r="A314" s="8">
        <f>2022</f>
        <v>2022</v>
      </c>
      <c r="B314" s="3" t="s">
        <v>92</v>
      </c>
      <c r="C314" s="4">
        <v>4.9523999999999999</v>
      </c>
      <c r="D314" s="5">
        <v>34.950800000000001</v>
      </c>
    </row>
    <row r="315" spans="1:4" s="1" customFormat="1" ht="19.75" customHeight="1" x14ac:dyDescent="0.25">
      <c r="A315" s="8">
        <f>2022</f>
        <v>2022</v>
      </c>
      <c r="B315" s="3" t="s">
        <v>97</v>
      </c>
      <c r="C315" s="6">
        <v>5.6688999999999998</v>
      </c>
      <c r="D315" s="7">
        <v>9.4</v>
      </c>
    </row>
    <row r="316" spans="1:4" s="1" customFormat="1" ht="19.75" customHeight="1" x14ac:dyDescent="0.25">
      <c r="A316" s="8">
        <f>2022</f>
        <v>2022</v>
      </c>
      <c r="B316" s="3" t="s">
        <v>34</v>
      </c>
      <c r="C316" s="4">
        <v>529.57100000000003</v>
      </c>
      <c r="D316" s="5">
        <v>1466.1783</v>
      </c>
    </row>
    <row r="317" spans="1:4" s="1" customFormat="1" ht="30.4" customHeight="1" x14ac:dyDescent="0.25">
      <c r="A317" s="8">
        <f>2022</f>
        <v>2022</v>
      </c>
      <c r="B317" s="3" t="s">
        <v>35</v>
      </c>
      <c r="C317" s="6">
        <v>368.2251</v>
      </c>
      <c r="D317" s="7">
        <v>368.50529999999998</v>
      </c>
    </row>
    <row r="318" spans="1:4" s="1" customFormat="1" ht="19.75" customHeight="1" x14ac:dyDescent="0.25">
      <c r="A318" s="8">
        <f>2022</f>
        <v>2022</v>
      </c>
      <c r="B318" s="3" t="s">
        <v>36</v>
      </c>
      <c r="C318" s="4">
        <v>2325.8640999999998</v>
      </c>
      <c r="D318" s="5">
        <v>3003.2557999999999</v>
      </c>
    </row>
    <row r="319" spans="1:4" s="1" customFormat="1" ht="19.75" customHeight="1" x14ac:dyDescent="0.25">
      <c r="A319" s="8">
        <f>2022</f>
        <v>2022</v>
      </c>
      <c r="B319" s="3" t="s">
        <v>37</v>
      </c>
      <c r="C319" s="6">
        <v>138.268</v>
      </c>
      <c r="D319" s="7">
        <v>160.0145</v>
      </c>
    </row>
    <row r="320" spans="1:4" s="1" customFormat="1" ht="19.75" customHeight="1" x14ac:dyDescent="0.25">
      <c r="A320" s="8">
        <f>2022</f>
        <v>2022</v>
      </c>
      <c r="B320" s="3" t="s">
        <v>38</v>
      </c>
      <c r="C320" s="4">
        <v>38.797649999999997</v>
      </c>
      <c r="D320" s="5">
        <v>47.663088000000002</v>
      </c>
    </row>
    <row r="321" spans="1:4" s="1" customFormat="1" ht="19.75" customHeight="1" x14ac:dyDescent="0.25">
      <c r="A321" s="8">
        <f>2022</f>
        <v>2022</v>
      </c>
      <c r="B321" s="3" t="s">
        <v>39</v>
      </c>
      <c r="C321" s="6">
        <v>16.839300000000001</v>
      </c>
      <c r="D321" s="7">
        <v>19.9422</v>
      </c>
    </row>
    <row r="322" spans="1:4" s="1" customFormat="1" ht="19.75" customHeight="1" x14ac:dyDescent="0.25">
      <c r="A322" s="8">
        <f>2022</f>
        <v>2022</v>
      </c>
      <c r="B322" s="3" t="s">
        <v>40</v>
      </c>
      <c r="C322" s="4">
        <v>184.44980000000001</v>
      </c>
      <c r="D322" s="5">
        <v>246.12710000000001</v>
      </c>
    </row>
    <row r="323" spans="1:4" s="1" customFormat="1" ht="19.75" customHeight="1" x14ac:dyDescent="0.25">
      <c r="A323" s="8">
        <f>2022</f>
        <v>2022</v>
      </c>
      <c r="B323" s="3" t="s">
        <v>41</v>
      </c>
      <c r="C323" s="6">
        <v>1413.1085</v>
      </c>
      <c r="D323" s="7">
        <v>2375.2583</v>
      </c>
    </row>
    <row r="324" spans="1:4" s="1" customFormat="1" ht="19.75" customHeight="1" x14ac:dyDescent="0.25">
      <c r="A324" s="8">
        <f>2022</f>
        <v>2022</v>
      </c>
      <c r="B324" s="3" t="s">
        <v>42</v>
      </c>
      <c r="C324" s="4">
        <v>2095.6664999999998</v>
      </c>
      <c r="D324" s="5">
        <v>2350.2492000000002</v>
      </c>
    </row>
    <row r="325" spans="1:4" s="1" customFormat="1" ht="19.75" customHeight="1" x14ac:dyDescent="0.25">
      <c r="A325" s="8">
        <f>2022</f>
        <v>2022</v>
      </c>
      <c r="B325" s="3" t="s">
        <v>43</v>
      </c>
      <c r="C325" s="6">
        <v>11854.416111</v>
      </c>
      <c r="D325" s="7">
        <v>14660.386511999999</v>
      </c>
    </row>
    <row r="326" spans="1:4" s="1" customFormat="1" ht="19.75" customHeight="1" x14ac:dyDescent="0.25">
      <c r="A326" s="8">
        <f>2022</f>
        <v>2022</v>
      </c>
      <c r="B326" s="3" t="s">
        <v>44</v>
      </c>
      <c r="C326" s="4">
        <v>309.7704</v>
      </c>
      <c r="D326" s="5">
        <v>327.95</v>
      </c>
    </row>
    <row r="327" spans="1:4" s="1" customFormat="1" ht="19.75" customHeight="1" x14ac:dyDescent="0.25">
      <c r="A327" s="8">
        <f>2022</f>
        <v>2022</v>
      </c>
      <c r="B327" s="3" t="s">
        <v>45</v>
      </c>
      <c r="C327" s="6">
        <v>541.36919599999999</v>
      </c>
      <c r="D327" s="7">
        <v>556.62205800000004</v>
      </c>
    </row>
    <row r="328" spans="1:4" s="1" customFormat="1" ht="19.75" customHeight="1" x14ac:dyDescent="0.25">
      <c r="A328" s="8">
        <f>2022</f>
        <v>2022</v>
      </c>
      <c r="B328" s="3" t="s">
        <v>93</v>
      </c>
      <c r="C328" s="4">
        <v>1134.6107</v>
      </c>
      <c r="D328" s="5">
        <v>803.62019999999995</v>
      </c>
    </row>
    <row r="329" spans="1:4" s="1" customFormat="1" ht="19.75" customHeight="1" x14ac:dyDescent="0.25">
      <c r="A329" s="8">
        <f>2022</f>
        <v>2022</v>
      </c>
      <c r="B329" s="3" t="s">
        <v>46</v>
      </c>
      <c r="C329" s="6">
        <v>111.41079999999999</v>
      </c>
      <c r="D329" s="7">
        <v>131.01159999999999</v>
      </c>
    </row>
    <row r="330" spans="1:4" s="1" customFormat="1" ht="19.75" customHeight="1" x14ac:dyDescent="0.25">
      <c r="A330" s="8">
        <f>2022</f>
        <v>2022</v>
      </c>
      <c r="B330" s="3" t="s">
        <v>47</v>
      </c>
      <c r="C330" s="4">
        <v>4315.3991999999998</v>
      </c>
      <c r="D330" s="5">
        <v>5202.2698</v>
      </c>
    </row>
    <row r="331" spans="1:4" s="1" customFormat="1" ht="19.75" customHeight="1" x14ac:dyDescent="0.25">
      <c r="A331" s="8">
        <f>2022</f>
        <v>2022</v>
      </c>
      <c r="B331" s="3" t="s">
        <v>48</v>
      </c>
      <c r="C331" s="6">
        <v>6836.2406000000001</v>
      </c>
      <c r="D331" s="7">
        <v>8381.6576000000005</v>
      </c>
    </row>
    <row r="332" spans="1:4" s="1" customFormat="1" ht="19.75" customHeight="1" x14ac:dyDescent="0.25">
      <c r="A332" s="8">
        <f>2022</f>
        <v>2022</v>
      </c>
      <c r="B332" s="3" t="s">
        <v>49</v>
      </c>
      <c r="C332" s="4">
        <v>65.833600000000004</v>
      </c>
      <c r="D332" s="5">
        <v>83.060599999999994</v>
      </c>
    </row>
    <row r="333" spans="1:4" s="1" customFormat="1" ht="19.75" customHeight="1" x14ac:dyDescent="0.25">
      <c r="A333" s="8">
        <f>2022</f>
        <v>2022</v>
      </c>
      <c r="B333" s="3" t="s">
        <v>50</v>
      </c>
      <c r="C333" s="6">
        <v>163.31379999999999</v>
      </c>
      <c r="D333" s="7">
        <v>192.1277</v>
      </c>
    </row>
    <row r="334" spans="1:4" s="1" customFormat="1" ht="19.75" customHeight="1" x14ac:dyDescent="0.25">
      <c r="A334" s="8">
        <f>2022</f>
        <v>2022</v>
      </c>
      <c r="B334" s="3" t="s">
        <v>51</v>
      </c>
      <c r="C334" s="4">
        <v>523.54359999999997</v>
      </c>
      <c r="D334" s="5">
        <v>560.0367</v>
      </c>
    </row>
    <row r="335" spans="1:4" s="1" customFormat="1" ht="19.75" customHeight="1" x14ac:dyDescent="0.25">
      <c r="A335" s="8">
        <f>2022</f>
        <v>2022</v>
      </c>
      <c r="B335" s="3" t="s">
        <v>52</v>
      </c>
      <c r="C335" s="6">
        <v>15.12</v>
      </c>
      <c r="D335" s="7">
        <v>36.005899999999997</v>
      </c>
    </row>
    <row r="336" spans="1:4" s="1" customFormat="1" ht="19.75" customHeight="1" x14ac:dyDescent="0.25">
      <c r="A336" s="8">
        <f>2022</f>
        <v>2022</v>
      </c>
      <c r="B336" s="3" t="s">
        <v>98</v>
      </c>
      <c r="C336" s="4">
        <v>13129.8495</v>
      </c>
      <c r="D336" s="5">
        <v>14301.0484</v>
      </c>
    </row>
    <row r="337" spans="1:4" s="1" customFormat="1" ht="19.75" customHeight="1" x14ac:dyDescent="0.25">
      <c r="A337" s="8">
        <f>2022</f>
        <v>2022</v>
      </c>
      <c r="B337" s="3" t="s">
        <v>53</v>
      </c>
      <c r="C337" s="6">
        <v>164.57310000000001</v>
      </c>
      <c r="D337" s="7">
        <v>206.03389999999999</v>
      </c>
    </row>
    <row r="338" spans="1:4" s="1" customFormat="1" ht="19.75" customHeight="1" x14ac:dyDescent="0.25">
      <c r="A338" s="8">
        <f>2022</f>
        <v>2022</v>
      </c>
      <c r="B338" s="3" t="s">
        <v>54</v>
      </c>
      <c r="C338" s="4">
        <v>33.237900000000003</v>
      </c>
      <c r="D338" s="5">
        <v>40.009700000000002</v>
      </c>
    </row>
    <row r="339" spans="1:4" s="1" customFormat="1" ht="19.75" customHeight="1" x14ac:dyDescent="0.25">
      <c r="A339" s="8">
        <f>2022</f>
        <v>2022</v>
      </c>
      <c r="B339" s="3" t="s">
        <v>55</v>
      </c>
      <c r="C339" s="6">
        <v>3651.9407999999999</v>
      </c>
      <c r="D339" s="7">
        <v>4190.5793000000003</v>
      </c>
    </row>
    <row r="340" spans="1:4" s="1" customFormat="1" ht="19.75" customHeight="1" x14ac:dyDescent="0.25">
      <c r="A340" s="8">
        <f>2022</f>
        <v>2022</v>
      </c>
      <c r="B340" s="3" t="s">
        <v>56</v>
      </c>
      <c r="C340" s="4">
        <v>8.3867589999999996</v>
      </c>
      <c r="D340" s="5">
        <v>92.909233</v>
      </c>
    </row>
    <row r="341" spans="1:4" s="1" customFormat="1" ht="19.75" customHeight="1" x14ac:dyDescent="0.25">
      <c r="A341" s="8">
        <f>2022</f>
        <v>2022</v>
      </c>
      <c r="B341" s="3" t="s">
        <v>57</v>
      </c>
      <c r="C341" s="6">
        <v>99.373699999999999</v>
      </c>
      <c r="D341" s="7">
        <v>124.97239999999999</v>
      </c>
    </row>
    <row r="342" spans="1:4" s="1" customFormat="1" ht="19.75" customHeight="1" x14ac:dyDescent="0.25">
      <c r="A342" s="8">
        <f>2022</f>
        <v>2022</v>
      </c>
      <c r="B342" s="3" t="s">
        <v>58</v>
      </c>
      <c r="C342" s="4">
        <v>96.572000000000003</v>
      </c>
      <c r="D342" s="5">
        <v>85.4358</v>
      </c>
    </row>
    <row r="343" spans="1:4" s="1" customFormat="1" ht="19.75" customHeight="1" x14ac:dyDescent="0.25">
      <c r="A343" s="8">
        <f>2022</f>
        <v>2022</v>
      </c>
      <c r="B343" s="3" t="s">
        <v>94</v>
      </c>
      <c r="C343" s="6">
        <v>6.2919999999999998</v>
      </c>
      <c r="D343" s="7">
        <v>6.6336000000000004</v>
      </c>
    </row>
    <row r="344" spans="1:4" s="1" customFormat="1" ht="19.75" customHeight="1" x14ac:dyDescent="0.25">
      <c r="A344" s="8">
        <f>2022</f>
        <v>2022</v>
      </c>
      <c r="B344" s="3" t="s">
        <v>59</v>
      </c>
      <c r="C344" s="4">
        <v>44.401299999999999</v>
      </c>
      <c r="D344" s="5">
        <v>59.820599999999999</v>
      </c>
    </row>
    <row r="345" spans="1:4" s="1" customFormat="1" ht="19.75" customHeight="1" x14ac:dyDescent="0.25">
      <c r="A345" s="8">
        <f>2022</f>
        <v>2022</v>
      </c>
      <c r="B345" s="3" t="s">
        <v>60</v>
      </c>
      <c r="C345" s="6">
        <v>833.10720000000003</v>
      </c>
      <c r="D345" s="7">
        <v>1107.0913</v>
      </c>
    </row>
    <row r="346" spans="1:4" s="1" customFormat="1" ht="19.75" customHeight="1" x14ac:dyDescent="0.25">
      <c r="A346" s="8">
        <f>2022</f>
        <v>2022</v>
      </c>
      <c r="B346" s="3" t="s">
        <v>61</v>
      </c>
      <c r="C346" s="4">
        <v>1275.8581999999999</v>
      </c>
      <c r="D346" s="5">
        <v>1661.9746</v>
      </c>
    </row>
    <row r="347" spans="1:4" s="1" customFormat="1" ht="19.75" customHeight="1" x14ac:dyDescent="0.25">
      <c r="A347" s="8">
        <f>2022</f>
        <v>2022</v>
      </c>
      <c r="B347" s="3" t="s">
        <v>64</v>
      </c>
      <c r="C347" s="6">
        <v>9.5626859999999994</v>
      </c>
      <c r="D347" s="7">
        <v>13.479975</v>
      </c>
    </row>
    <row r="348" spans="1:4" s="1" customFormat="1" ht="19.75" customHeight="1" x14ac:dyDescent="0.25">
      <c r="A348" s="8">
        <f>2022</f>
        <v>2022</v>
      </c>
      <c r="B348" s="3" t="s">
        <v>65</v>
      </c>
      <c r="C348" s="4">
        <v>60.072899999999997</v>
      </c>
      <c r="D348" s="5">
        <v>71.015299999999996</v>
      </c>
    </row>
    <row r="349" spans="1:4" s="1" customFormat="1" ht="19.75" customHeight="1" x14ac:dyDescent="0.25">
      <c r="A349" s="8">
        <f>2022</f>
        <v>2022</v>
      </c>
      <c r="B349" s="3" t="s">
        <v>66</v>
      </c>
      <c r="C349" s="6">
        <v>24.680695</v>
      </c>
      <c r="D349" s="7">
        <v>176.68244300000001</v>
      </c>
    </row>
    <row r="350" spans="1:4" s="1" customFormat="1" ht="19.75" customHeight="1" x14ac:dyDescent="0.25">
      <c r="A350" s="8">
        <f>2022</f>
        <v>2022</v>
      </c>
      <c r="B350" s="3" t="s">
        <v>67</v>
      </c>
      <c r="C350" s="4">
        <v>397.29500000000002</v>
      </c>
      <c r="D350" s="5">
        <v>510.74900000000002</v>
      </c>
    </row>
    <row r="351" spans="1:4" s="1" customFormat="1" ht="19.75" customHeight="1" x14ac:dyDescent="0.25">
      <c r="A351" s="8">
        <f>2022</f>
        <v>2022</v>
      </c>
      <c r="B351" s="3" t="s">
        <v>68</v>
      </c>
      <c r="C351" s="6">
        <v>538.52840000000003</v>
      </c>
      <c r="D351" s="7">
        <v>660.73329999999999</v>
      </c>
    </row>
    <row r="352" spans="1:4" s="1" customFormat="1" ht="19.75" customHeight="1" x14ac:dyDescent="0.25">
      <c r="A352" s="8">
        <f>2022</f>
        <v>2022</v>
      </c>
      <c r="B352" s="3" t="s">
        <v>69</v>
      </c>
      <c r="C352" s="4">
        <v>321.07889999999998</v>
      </c>
      <c r="D352" s="5">
        <v>335.48320000000001</v>
      </c>
    </row>
    <row r="353" spans="1:4" s="1" customFormat="1" ht="19.75" customHeight="1" x14ac:dyDescent="0.25">
      <c r="A353" s="8">
        <f>2022</f>
        <v>2022</v>
      </c>
      <c r="B353" s="3" t="s">
        <v>95</v>
      </c>
      <c r="C353" s="6">
        <v>4.4333</v>
      </c>
      <c r="D353" s="7">
        <v>16.824100000000001</v>
      </c>
    </row>
    <row r="354" spans="1:4" s="1" customFormat="1" ht="19.75" customHeight="1" x14ac:dyDescent="0.25">
      <c r="A354" s="8">
        <f>2022</f>
        <v>2022</v>
      </c>
      <c r="B354" s="3" t="s">
        <v>71</v>
      </c>
      <c r="C354" s="4">
        <v>10626.941486</v>
      </c>
      <c r="D354" s="5">
        <v>13034.290539</v>
      </c>
    </row>
    <row r="355" spans="1:4" s="1" customFormat="1" ht="19.75" customHeight="1" x14ac:dyDescent="0.25">
      <c r="A355" s="8">
        <f>2022</f>
        <v>2022</v>
      </c>
      <c r="B355" s="3" t="s">
        <v>72</v>
      </c>
      <c r="C355" s="6">
        <v>1173.7687169999999</v>
      </c>
      <c r="D355" s="7">
        <v>1383.5661130000001</v>
      </c>
    </row>
    <row r="356" spans="1:4" s="1" customFormat="1" ht="19.75" customHeight="1" x14ac:dyDescent="0.25">
      <c r="A356" s="8">
        <f>2022</f>
        <v>2022</v>
      </c>
      <c r="B356" s="3" t="s">
        <v>99</v>
      </c>
      <c r="C356" s="4">
        <v>99.776799999999994</v>
      </c>
      <c r="D356" s="5">
        <v>100.2423</v>
      </c>
    </row>
    <row r="357" spans="1:4" s="1" customFormat="1" ht="19.75" customHeight="1" x14ac:dyDescent="0.25">
      <c r="A357" s="8">
        <f>2022</f>
        <v>2022</v>
      </c>
      <c r="B357" s="3" t="s">
        <v>75</v>
      </c>
      <c r="C357" s="6">
        <v>53.045699999999997</v>
      </c>
      <c r="D357" s="7">
        <v>65.703999999999994</v>
      </c>
    </row>
    <row r="358" spans="1:4" s="1" customFormat="1" ht="19.75" customHeight="1" x14ac:dyDescent="0.25">
      <c r="A358" s="8">
        <f>2022</f>
        <v>2022</v>
      </c>
      <c r="B358" s="3" t="s">
        <v>76</v>
      </c>
      <c r="C358" s="4">
        <v>196.5548</v>
      </c>
      <c r="D358" s="5">
        <v>222.10059999999999</v>
      </c>
    </row>
    <row r="359" spans="1:4" s="1" customFormat="1" ht="19.75" customHeight="1" x14ac:dyDescent="0.25">
      <c r="A359" s="8">
        <f>2022</f>
        <v>2022</v>
      </c>
      <c r="B359" s="3" t="s">
        <v>77</v>
      </c>
      <c r="C359" s="6">
        <v>5921.7306900000003</v>
      </c>
      <c r="D359" s="7">
        <v>6915.4248520000001</v>
      </c>
    </row>
    <row r="360" spans="1:4" s="1" customFormat="1" ht="19.75" customHeight="1" x14ac:dyDescent="0.25">
      <c r="A360" s="8">
        <f>2022</f>
        <v>2022</v>
      </c>
      <c r="B360" s="3" t="s">
        <v>78</v>
      </c>
      <c r="C360" s="4">
        <v>578.21770000000004</v>
      </c>
      <c r="D360" s="5">
        <v>632.40300000000002</v>
      </c>
    </row>
    <row r="361" spans="1:4" s="1" customFormat="1" ht="19.75" customHeight="1" x14ac:dyDescent="0.25">
      <c r="A361" s="8">
        <f>2022</f>
        <v>2022</v>
      </c>
      <c r="B361" s="3" t="s">
        <v>79</v>
      </c>
      <c r="C361" s="6">
        <v>3459.6693</v>
      </c>
      <c r="D361" s="7">
        <v>3997.2258000000002</v>
      </c>
    </row>
    <row r="362" spans="1:4" s="1" customFormat="1" ht="19.75" customHeight="1" x14ac:dyDescent="0.25">
      <c r="A362" s="8">
        <f>2022</f>
        <v>2022</v>
      </c>
      <c r="B362" s="3" t="s">
        <v>80</v>
      </c>
      <c r="C362" s="4">
        <v>1939.9255000000001</v>
      </c>
      <c r="D362" s="5">
        <v>2147.5083</v>
      </c>
    </row>
    <row r="363" spans="1:4" s="1" customFormat="1" ht="19.75" customHeight="1" x14ac:dyDescent="0.25">
      <c r="A363" s="8">
        <f>2022</f>
        <v>2022</v>
      </c>
      <c r="B363" s="3" t="s">
        <v>96</v>
      </c>
      <c r="C363" s="6">
        <v>1445.8702559999999</v>
      </c>
      <c r="D363" s="7">
        <v>1647.647123</v>
      </c>
    </row>
    <row r="364" spans="1:4" s="1" customFormat="1" ht="19.75" customHeight="1" x14ac:dyDescent="0.25">
      <c r="A364" s="8">
        <f>2022</f>
        <v>2022</v>
      </c>
      <c r="B364" s="3" t="s">
        <v>81</v>
      </c>
      <c r="C364" s="4">
        <v>2726.5351000000001</v>
      </c>
      <c r="D364" s="5">
        <v>3050.2982999999999</v>
      </c>
    </row>
    <row r="365" spans="1:4" s="1" customFormat="1" ht="19.75" customHeight="1" x14ac:dyDescent="0.25">
      <c r="A365" s="8">
        <f>2022</f>
        <v>2022</v>
      </c>
      <c r="B365" s="3" t="s">
        <v>82</v>
      </c>
      <c r="C365" s="6">
        <v>314.15929999999997</v>
      </c>
      <c r="D365" s="7">
        <v>328.39069999999998</v>
      </c>
    </row>
    <row r="366" spans="1:4" s="1" customFormat="1" ht="19.75" customHeight="1" x14ac:dyDescent="0.25">
      <c r="A366" s="8">
        <f>2022</f>
        <v>2022</v>
      </c>
      <c r="B366" s="3" t="s">
        <v>83</v>
      </c>
      <c r="C366" s="4">
        <v>130.8605</v>
      </c>
      <c r="D366" s="5">
        <v>146.0437</v>
      </c>
    </row>
    <row r="367" spans="1:4" s="1" customFormat="1" ht="19.75" customHeight="1" x14ac:dyDescent="0.25">
      <c r="A367" s="8">
        <f>2022</f>
        <v>2022</v>
      </c>
      <c r="B367" s="3" t="s">
        <v>84</v>
      </c>
      <c r="C367" s="6">
        <v>941.82095700000002</v>
      </c>
      <c r="D367" s="7">
        <v>1035.3794</v>
      </c>
    </row>
    <row r="368" spans="1:4" s="1" customFormat="1" ht="19.75" customHeight="1" x14ac:dyDescent="0.25">
      <c r="A368" s="8">
        <f>2022</f>
        <v>2022</v>
      </c>
      <c r="B368" s="3" t="s">
        <v>85</v>
      </c>
      <c r="C368" s="4">
        <v>2812.7991000000002</v>
      </c>
      <c r="D368" s="5">
        <v>3172.6855999999998</v>
      </c>
    </row>
    <row r="369" spans="1:4" s="1" customFormat="1" ht="19.75" customHeight="1" x14ac:dyDescent="0.25">
      <c r="A369" s="8">
        <f>2022</f>
        <v>2022</v>
      </c>
      <c r="B369" s="3" t="s">
        <v>87</v>
      </c>
      <c r="C369" s="6">
        <v>1848.8126</v>
      </c>
      <c r="D369" s="7">
        <v>2033.646</v>
      </c>
    </row>
    <row r="370" spans="1:4" s="1" customFormat="1" ht="19.75" customHeight="1" x14ac:dyDescent="0.25">
      <c r="A370" s="8">
        <f>2022</f>
        <v>2022</v>
      </c>
      <c r="B370" s="3" t="s">
        <v>88</v>
      </c>
      <c r="C370" s="4">
        <v>54.143900000000002</v>
      </c>
      <c r="D370" s="5">
        <v>941.34180000000003</v>
      </c>
    </row>
    <row r="371" spans="1:4" s="1" customFormat="1" ht="19.75" customHeight="1" x14ac:dyDescent="0.25">
      <c r="A371" s="8">
        <f>2022</f>
        <v>2022</v>
      </c>
      <c r="B371" s="3" t="s">
        <v>89</v>
      </c>
      <c r="C371" s="6">
        <v>35.627899999999997</v>
      </c>
      <c r="D371" s="7">
        <v>1008.8539</v>
      </c>
    </row>
    <row r="372" spans="1:4" s="1" customFormat="1" ht="19.75" customHeight="1" x14ac:dyDescent="0.25">
      <c r="A372" s="8">
        <f>2022</f>
        <v>2022</v>
      </c>
      <c r="B372" s="3" t="s">
        <v>90</v>
      </c>
      <c r="C372" s="4">
        <v>128.45590000000001</v>
      </c>
      <c r="D372" s="5">
        <v>461.20409999999998</v>
      </c>
    </row>
    <row r="373" spans="1:4" s="1" customFormat="1" ht="19.75" customHeight="1" x14ac:dyDescent="0.25">
      <c r="A373" s="8">
        <f>2022</f>
        <v>2022</v>
      </c>
      <c r="B373" s="3" t="s">
        <v>91</v>
      </c>
      <c r="C373" s="6">
        <v>228.14340000000001</v>
      </c>
      <c r="D373" s="7">
        <v>2540.2058999999999</v>
      </c>
    </row>
    <row r="374" spans="1:4" s="1" customFormat="1" ht="19.75" customHeight="1" x14ac:dyDescent="0.25">
      <c r="A374" s="8">
        <f>2021</f>
        <v>2021</v>
      </c>
      <c r="B374" s="3" t="s">
        <v>0</v>
      </c>
      <c r="C374" s="4">
        <v>70495.062099999996</v>
      </c>
      <c r="D374" s="5">
        <v>83429.030199999994</v>
      </c>
    </row>
    <row r="375" spans="1:4" s="1" customFormat="1" ht="19.75" customHeight="1" x14ac:dyDescent="0.25">
      <c r="A375" s="8">
        <f>2021</f>
        <v>2021</v>
      </c>
      <c r="B375" s="3" t="s">
        <v>1</v>
      </c>
      <c r="C375" s="6">
        <v>40599.438499999997</v>
      </c>
      <c r="D375" s="7">
        <v>47441.304100000001</v>
      </c>
    </row>
    <row r="376" spans="1:4" s="1" customFormat="1" ht="19.75" customHeight="1" x14ac:dyDescent="0.25">
      <c r="A376" s="8">
        <f>2021</f>
        <v>2021</v>
      </c>
      <c r="B376" s="3" t="s">
        <v>2</v>
      </c>
      <c r="C376" s="4">
        <v>11868.540800000001</v>
      </c>
      <c r="D376" s="5">
        <v>14496.2111</v>
      </c>
    </row>
    <row r="377" spans="1:4" s="1" customFormat="1" ht="19.75" customHeight="1" x14ac:dyDescent="0.25">
      <c r="A377" s="8">
        <f>2021</f>
        <v>2021</v>
      </c>
      <c r="B377" s="3" t="s">
        <v>3</v>
      </c>
      <c r="C377" s="6">
        <v>69280.462199999994</v>
      </c>
      <c r="D377" s="7">
        <v>84204.772899999996</v>
      </c>
    </row>
    <row r="378" spans="1:4" s="1" customFormat="1" ht="19.75" customHeight="1" x14ac:dyDescent="0.25">
      <c r="A378" s="8">
        <f>2021</f>
        <v>2021</v>
      </c>
      <c r="B378" s="3" t="s">
        <v>4</v>
      </c>
      <c r="C378" s="4">
        <v>22730.232899999999</v>
      </c>
      <c r="D378" s="5">
        <v>25845.9071</v>
      </c>
    </row>
    <row r="379" spans="1:4" s="1" customFormat="1" ht="19.75" customHeight="1" x14ac:dyDescent="0.25">
      <c r="A379" s="8">
        <f>2021</f>
        <v>2021</v>
      </c>
      <c r="B379" s="3" t="s">
        <v>5</v>
      </c>
      <c r="C379" s="6">
        <v>39105.786500000002</v>
      </c>
      <c r="D379" s="7">
        <v>44755.9761</v>
      </c>
    </row>
    <row r="380" spans="1:4" s="1" customFormat="1" ht="19.75" customHeight="1" x14ac:dyDescent="0.25">
      <c r="A380" s="8">
        <f>2021</f>
        <v>2021</v>
      </c>
      <c r="B380" s="3" t="s">
        <v>6</v>
      </c>
      <c r="C380" s="4">
        <v>16965.532500000001</v>
      </c>
      <c r="D380" s="5">
        <v>22524.550899999998</v>
      </c>
    </row>
    <row r="381" spans="1:4" s="1" customFormat="1" ht="19.75" customHeight="1" x14ac:dyDescent="0.25">
      <c r="A381" s="8">
        <f>2021</f>
        <v>2021</v>
      </c>
      <c r="B381" s="3" t="s">
        <v>7</v>
      </c>
      <c r="C381" s="6">
        <v>6973.9143000000004</v>
      </c>
      <c r="D381" s="7">
        <v>7877.5282999999999</v>
      </c>
    </row>
    <row r="382" spans="1:4" s="1" customFormat="1" ht="19.75" customHeight="1" x14ac:dyDescent="0.25">
      <c r="A382" s="8">
        <f>2021</f>
        <v>2021</v>
      </c>
      <c r="B382" s="3" t="s">
        <v>8</v>
      </c>
      <c r="C382" s="4">
        <v>80818.402700000006</v>
      </c>
      <c r="D382" s="5">
        <v>92740.717600000004</v>
      </c>
    </row>
    <row r="383" spans="1:4" s="1" customFormat="1" ht="19.75" customHeight="1" x14ac:dyDescent="0.25">
      <c r="A383" s="8">
        <f>2021</f>
        <v>2021</v>
      </c>
      <c r="B383" s="3" t="s">
        <v>9</v>
      </c>
      <c r="C383" s="6">
        <v>265150.63380000001</v>
      </c>
      <c r="D383" s="7">
        <v>308647.0085</v>
      </c>
    </row>
    <row r="384" spans="1:4" s="1" customFormat="1" ht="19.75" customHeight="1" x14ac:dyDescent="0.25">
      <c r="A384" s="8">
        <f>2021</f>
        <v>2021</v>
      </c>
      <c r="B384" s="3" t="s">
        <v>10</v>
      </c>
      <c r="C384" s="4">
        <v>14446.149799999999</v>
      </c>
      <c r="D384" s="5">
        <v>17870.324400000001</v>
      </c>
    </row>
    <row r="385" spans="1:4" s="1" customFormat="1" ht="19.75" customHeight="1" x14ac:dyDescent="0.25">
      <c r="A385" s="8">
        <f>2021</f>
        <v>2021</v>
      </c>
      <c r="B385" s="3" t="s">
        <v>11</v>
      </c>
      <c r="C385" s="6">
        <v>68767.334799999997</v>
      </c>
      <c r="D385" s="7">
        <v>80511.828500000003</v>
      </c>
    </row>
    <row r="386" spans="1:4" s="1" customFormat="1" ht="19.75" customHeight="1" x14ac:dyDescent="0.25">
      <c r="A386" s="8">
        <f>2021</f>
        <v>2021</v>
      </c>
      <c r="B386" s="3" t="s">
        <v>12</v>
      </c>
      <c r="C386" s="4">
        <v>63346.232100000001</v>
      </c>
      <c r="D386" s="5">
        <v>75609.830600000001</v>
      </c>
    </row>
    <row r="387" spans="1:4" s="1" customFormat="1" ht="19.75" customHeight="1" x14ac:dyDescent="0.25">
      <c r="A387" s="8">
        <f>2021</f>
        <v>2021</v>
      </c>
      <c r="B387" s="3" t="s">
        <v>13</v>
      </c>
      <c r="C387" s="6">
        <v>12524.211776</v>
      </c>
      <c r="D387" s="7">
        <v>14546.465689000001</v>
      </c>
    </row>
    <row r="388" spans="1:4" s="1" customFormat="1" ht="19.75" customHeight="1" x14ac:dyDescent="0.25">
      <c r="A388" s="8">
        <f>2021</f>
        <v>2021</v>
      </c>
      <c r="B388" s="3" t="s">
        <v>14</v>
      </c>
      <c r="C388" s="4">
        <v>4134.6849000000002</v>
      </c>
      <c r="D388" s="5">
        <v>4823.4515000000001</v>
      </c>
    </row>
    <row r="389" spans="1:4" s="1" customFormat="1" ht="19.75" customHeight="1" x14ac:dyDescent="0.25">
      <c r="A389" s="8">
        <f>2021</f>
        <v>2021</v>
      </c>
      <c r="B389" s="3" t="s">
        <v>15</v>
      </c>
      <c r="C389" s="6">
        <v>1872.2945</v>
      </c>
      <c r="D389" s="7">
        <v>2175.4245000000001</v>
      </c>
    </row>
    <row r="390" spans="1:4" s="1" customFormat="1" ht="19.75" customHeight="1" x14ac:dyDescent="0.25">
      <c r="A390" s="8">
        <f>2021</f>
        <v>2021</v>
      </c>
      <c r="B390" s="3" t="s">
        <v>16</v>
      </c>
      <c r="C390" s="4">
        <v>3458.2143999999998</v>
      </c>
      <c r="D390" s="5">
        <v>3904.0403000000001</v>
      </c>
    </row>
    <row r="391" spans="1:4" s="1" customFormat="1" ht="19.75" customHeight="1" x14ac:dyDescent="0.25">
      <c r="A391" s="8">
        <f>2021</f>
        <v>2021</v>
      </c>
      <c r="B391" s="3" t="s">
        <v>17</v>
      </c>
      <c r="C391" s="6">
        <v>930.74670000000003</v>
      </c>
      <c r="D391" s="7">
        <v>1052.9683</v>
      </c>
    </row>
    <row r="392" spans="1:4" s="1" customFormat="1" ht="19.75" customHeight="1" x14ac:dyDescent="0.25">
      <c r="A392" s="8">
        <f>2021</f>
        <v>2021</v>
      </c>
      <c r="B392" s="3" t="s">
        <v>18</v>
      </c>
      <c r="C392" s="4">
        <v>13757.9023</v>
      </c>
      <c r="D392" s="5">
        <v>15716.608700000001</v>
      </c>
    </row>
    <row r="393" spans="1:4" s="1" customFormat="1" ht="19.75" customHeight="1" x14ac:dyDescent="0.25">
      <c r="A393" s="8">
        <f>2021</f>
        <v>2021</v>
      </c>
      <c r="B393" s="3" t="s">
        <v>19</v>
      </c>
      <c r="C393" s="6">
        <v>120858.2265</v>
      </c>
      <c r="D393" s="7">
        <v>146063.11919999999</v>
      </c>
    </row>
    <row r="394" spans="1:4" s="1" customFormat="1" ht="19.75" customHeight="1" x14ac:dyDescent="0.25">
      <c r="A394" s="8">
        <f>2021</f>
        <v>2021</v>
      </c>
      <c r="B394" s="3" t="s">
        <v>20</v>
      </c>
      <c r="C394" s="4">
        <v>79118.270999999993</v>
      </c>
      <c r="D394" s="5">
        <v>98086.7984</v>
      </c>
    </row>
    <row r="395" spans="1:4" s="1" customFormat="1" ht="19.75" customHeight="1" x14ac:dyDescent="0.25">
      <c r="A395" s="8">
        <f>2021</f>
        <v>2021</v>
      </c>
      <c r="B395" s="3" t="s">
        <v>21</v>
      </c>
      <c r="C395" s="6">
        <v>19938.204658999999</v>
      </c>
      <c r="D395" s="7">
        <v>24496.805232999999</v>
      </c>
    </row>
    <row r="396" spans="1:4" s="1" customFormat="1" ht="19.75" customHeight="1" x14ac:dyDescent="0.25">
      <c r="A396" s="8">
        <f>2021</f>
        <v>2021</v>
      </c>
      <c r="B396" s="3" t="s">
        <v>22</v>
      </c>
      <c r="C396" s="4">
        <v>15967.859474999999</v>
      </c>
      <c r="D396" s="5">
        <v>18179.18822</v>
      </c>
    </row>
    <row r="397" spans="1:4" s="1" customFormat="1" ht="19.75" customHeight="1" x14ac:dyDescent="0.25">
      <c r="A397" s="8">
        <f>2021</f>
        <v>2021</v>
      </c>
      <c r="B397" s="3" t="s">
        <v>23</v>
      </c>
      <c r="C397" s="6">
        <v>28999.796699999999</v>
      </c>
      <c r="D397" s="7">
        <v>35558.4087</v>
      </c>
    </row>
    <row r="398" spans="1:4" s="1" customFormat="1" ht="19.75" customHeight="1" x14ac:dyDescent="0.25">
      <c r="A398" s="8">
        <f>2021</f>
        <v>2021</v>
      </c>
      <c r="B398" s="3" t="s">
        <v>24</v>
      </c>
      <c r="C398" s="4">
        <v>8111.0874999999996</v>
      </c>
      <c r="D398" s="5">
        <v>8803.1674000000003</v>
      </c>
    </row>
    <row r="399" spans="1:4" s="1" customFormat="1" ht="19.75" customHeight="1" x14ac:dyDescent="0.25">
      <c r="A399" s="8">
        <f>2021</f>
        <v>2021</v>
      </c>
      <c r="B399" s="3" t="s">
        <v>25</v>
      </c>
      <c r="C399" s="6">
        <v>6232.4147000000003</v>
      </c>
      <c r="D399" s="7">
        <v>7636.6162999999997</v>
      </c>
    </row>
    <row r="400" spans="1:4" s="1" customFormat="1" ht="19.75" customHeight="1" x14ac:dyDescent="0.25">
      <c r="A400" s="8">
        <f>2021</f>
        <v>2021</v>
      </c>
      <c r="B400" s="3" t="s">
        <v>26</v>
      </c>
      <c r="C400" s="4">
        <v>5470.4269999999997</v>
      </c>
      <c r="D400" s="5">
        <v>6389.2572</v>
      </c>
    </row>
    <row r="401" spans="1:4" s="1" customFormat="1" ht="19.75" customHeight="1" x14ac:dyDescent="0.25">
      <c r="A401" s="8">
        <f>2021</f>
        <v>2021</v>
      </c>
      <c r="B401" s="3" t="s">
        <v>27</v>
      </c>
      <c r="C401" s="6">
        <v>26840.267680000001</v>
      </c>
      <c r="D401" s="7">
        <v>32299.456869000001</v>
      </c>
    </row>
    <row r="402" spans="1:4" s="1" customFormat="1" ht="19.75" customHeight="1" x14ac:dyDescent="0.25">
      <c r="A402" s="8">
        <f>2021</f>
        <v>2021</v>
      </c>
      <c r="B402" s="3" t="s">
        <v>28</v>
      </c>
      <c r="C402" s="4">
        <v>593.12990000000002</v>
      </c>
      <c r="D402" s="5">
        <v>639.12180000000001</v>
      </c>
    </row>
    <row r="403" spans="1:4" s="1" customFormat="1" ht="19.75" customHeight="1" x14ac:dyDescent="0.25">
      <c r="A403" s="8">
        <f>2021</f>
        <v>2021</v>
      </c>
      <c r="B403" s="3" t="s">
        <v>29</v>
      </c>
      <c r="C403" s="6">
        <v>8329.0169000000005</v>
      </c>
      <c r="D403" s="7">
        <v>10213.06</v>
      </c>
    </row>
    <row r="404" spans="1:4" s="1" customFormat="1" ht="19.75" customHeight="1" x14ac:dyDescent="0.25">
      <c r="A404" s="8">
        <f>2021</f>
        <v>2021</v>
      </c>
      <c r="B404" s="3" t="s">
        <v>30</v>
      </c>
      <c r="C404" s="4">
        <v>7305.4447</v>
      </c>
      <c r="D404" s="5">
        <v>8534.6134000000002</v>
      </c>
    </row>
    <row r="405" spans="1:4" s="1" customFormat="1" ht="19.75" customHeight="1" x14ac:dyDescent="0.25">
      <c r="A405" s="8">
        <f>2021</f>
        <v>2021</v>
      </c>
      <c r="B405" s="3" t="s">
        <v>31</v>
      </c>
      <c r="C405" s="6">
        <v>3609.0535</v>
      </c>
      <c r="D405" s="7">
        <v>4253.4017000000003</v>
      </c>
    </row>
    <row r="406" spans="1:4" s="1" customFormat="1" ht="19.75" customHeight="1" x14ac:dyDescent="0.25">
      <c r="A406" s="8">
        <f>2021</f>
        <v>2021</v>
      </c>
      <c r="B406" s="3" t="s">
        <v>32</v>
      </c>
      <c r="C406" s="4">
        <v>20041.835299999999</v>
      </c>
      <c r="D406" s="5">
        <v>23053.529699999999</v>
      </c>
    </row>
    <row r="407" spans="1:4" s="1" customFormat="1" ht="19.75" customHeight="1" x14ac:dyDescent="0.25">
      <c r="A407" s="8">
        <f>2021</f>
        <v>2021</v>
      </c>
      <c r="B407" s="3" t="s">
        <v>92</v>
      </c>
      <c r="C407" s="6">
        <v>5.0473939999999997</v>
      </c>
      <c r="D407" s="7">
        <v>28.305381000000001</v>
      </c>
    </row>
    <row r="408" spans="1:4" s="1" customFormat="1" ht="19.75" customHeight="1" x14ac:dyDescent="0.25">
      <c r="A408" s="8">
        <f>2021</f>
        <v>2021</v>
      </c>
      <c r="B408" s="3" t="s">
        <v>97</v>
      </c>
      <c r="C408" s="4">
        <v>6.6193</v>
      </c>
      <c r="D408" s="5">
        <v>6.8150000000000004</v>
      </c>
    </row>
    <row r="409" spans="1:4" s="1" customFormat="1" ht="19.75" customHeight="1" x14ac:dyDescent="0.25">
      <c r="A409" s="8">
        <f>2021</f>
        <v>2021</v>
      </c>
      <c r="B409" s="3" t="s">
        <v>34</v>
      </c>
      <c r="C409" s="6">
        <v>601.62929999999994</v>
      </c>
      <c r="D409" s="7">
        <v>1324.4032999999999</v>
      </c>
    </row>
    <row r="410" spans="1:4" s="1" customFormat="1" ht="30.4" customHeight="1" x14ac:dyDescent="0.25">
      <c r="A410" s="8">
        <f>2021</f>
        <v>2021</v>
      </c>
      <c r="B410" s="3" t="s">
        <v>35</v>
      </c>
      <c r="C410" s="4">
        <v>379.7287</v>
      </c>
      <c r="D410" s="5">
        <v>455.0127</v>
      </c>
    </row>
    <row r="411" spans="1:4" s="1" customFormat="1" ht="19.75" customHeight="1" x14ac:dyDescent="0.25">
      <c r="A411" s="8">
        <f>2021</f>
        <v>2021</v>
      </c>
      <c r="B411" s="3" t="s">
        <v>36</v>
      </c>
      <c r="C411" s="6">
        <v>2621.6264999999999</v>
      </c>
      <c r="D411" s="7">
        <v>3668.9306999999999</v>
      </c>
    </row>
    <row r="412" spans="1:4" s="1" customFormat="1" ht="19.75" customHeight="1" x14ac:dyDescent="0.25">
      <c r="A412" s="8">
        <f>2021</f>
        <v>2021</v>
      </c>
      <c r="B412" s="3" t="s">
        <v>37</v>
      </c>
      <c r="C412" s="4">
        <v>163.3742</v>
      </c>
      <c r="D412" s="5">
        <v>180.3622</v>
      </c>
    </row>
    <row r="413" spans="1:4" s="1" customFormat="1" ht="19.75" customHeight="1" x14ac:dyDescent="0.25">
      <c r="A413" s="8">
        <f>2021</f>
        <v>2021</v>
      </c>
      <c r="B413" s="3" t="s">
        <v>38</v>
      </c>
      <c r="C413" s="6">
        <v>38.690899999999999</v>
      </c>
      <c r="D413" s="7">
        <v>46.161499999999997</v>
      </c>
    </row>
    <row r="414" spans="1:4" s="1" customFormat="1" ht="19.75" customHeight="1" x14ac:dyDescent="0.25">
      <c r="A414" s="8">
        <f>2021</f>
        <v>2021</v>
      </c>
      <c r="B414" s="3" t="s">
        <v>39</v>
      </c>
      <c r="C414" s="4">
        <v>16.8171</v>
      </c>
      <c r="D414" s="5">
        <v>18.2408</v>
      </c>
    </row>
    <row r="415" spans="1:4" s="1" customFormat="1" ht="19.75" customHeight="1" x14ac:dyDescent="0.25">
      <c r="A415" s="8">
        <f>2021</f>
        <v>2021</v>
      </c>
      <c r="B415" s="3" t="s">
        <v>40</v>
      </c>
      <c r="C415" s="6">
        <v>233.928</v>
      </c>
      <c r="D415" s="7">
        <v>242.870923</v>
      </c>
    </row>
    <row r="416" spans="1:4" s="1" customFormat="1" ht="19.75" customHeight="1" x14ac:dyDescent="0.25">
      <c r="A416" s="8">
        <f>2021</f>
        <v>2021</v>
      </c>
      <c r="B416" s="3" t="s">
        <v>41</v>
      </c>
      <c r="C416" s="4">
        <v>1222.7492999999999</v>
      </c>
      <c r="D416" s="5">
        <v>1690.2614000000001</v>
      </c>
    </row>
    <row r="417" spans="1:4" s="1" customFormat="1" ht="19.75" customHeight="1" x14ac:dyDescent="0.25">
      <c r="A417" s="8">
        <f>2021</f>
        <v>2021</v>
      </c>
      <c r="B417" s="3" t="s">
        <v>42</v>
      </c>
      <c r="C417" s="6">
        <v>1970.9375</v>
      </c>
      <c r="D417" s="7">
        <v>2490.2887000000001</v>
      </c>
    </row>
    <row r="418" spans="1:4" s="1" customFormat="1" ht="19.75" customHeight="1" x14ac:dyDescent="0.25">
      <c r="A418" s="8">
        <f>2021</f>
        <v>2021</v>
      </c>
      <c r="B418" s="3" t="s">
        <v>43</v>
      </c>
      <c r="C418" s="4">
        <v>12195.229246000001</v>
      </c>
      <c r="D418" s="5">
        <v>15528.457329999999</v>
      </c>
    </row>
    <row r="419" spans="1:4" s="1" customFormat="1" ht="19.75" customHeight="1" x14ac:dyDescent="0.25">
      <c r="A419" s="8">
        <f>2021</f>
        <v>2021</v>
      </c>
      <c r="B419" s="3" t="s">
        <v>44</v>
      </c>
      <c r="C419" s="6">
        <v>284.66090000000003</v>
      </c>
      <c r="D419" s="7">
        <v>300.4486</v>
      </c>
    </row>
    <row r="420" spans="1:4" s="1" customFormat="1" ht="19.75" customHeight="1" x14ac:dyDescent="0.25">
      <c r="A420" s="8">
        <f>2021</f>
        <v>2021</v>
      </c>
      <c r="B420" s="3" t="s">
        <v>45</v>
      </c>
      <c r="C420" s="4">
        <v>568.45069999999998</v>
      </c>
      <c r="D420" s="5">
        <v>591.72850100000005</v>
      </c>
    </row>
    <row r="421" spans="1:4" s="1" customFormat="1" ht="19.75" customHeight="1" x14ac:dyDescent="0.25">
      <c r="A421" s="8">
        <f>2021</f>
        <v>2021</v>
      </c>
      <c r="B421" s="3" t="s">
        <v>93</v>
      </c>
      <c r="C421" s="6">
        <v>765.09310000000005</v>
      </c>
      <c r="D421" s="7">
        <v>898.11220000000003</v>
      </c>
    </row>
    <row r="422" spans="1:4" s="1" customFormat="1" ht="19.75" customHeight="1" x14ac:dyDescent="0.25">
      <c r="A422" s="8">
        <f>2021</f>
        <v>2021</v>
      </c>
      <c r="B422" s="3" t="s">
        <v>46</v>
      </c>
      <c r="C422" s="4">
        <v>107.2715</v>
      </c>
      <c r="D422" s="5">
        <v>128.10929999999999</v>
      </c>
    </row>
    <row r="423" spans="1:4" s="1" customFormat="1" ht="19.75" customHeight="1" x14ac:dyDescent="0.25">
      <c r="A423" s="8">
        <f>2021</f>
        <v>2021</v>
      </c>
      <c r="B423" s="3" t="s">
        <v>47</v>
      </c>
      <c r="C423" s="6">
        <v>3373.3312000000001</v>
      </c>
      <c r="D423" s="7">
        <v>4394.6280999999999</v>
      </c>
    </row>
    <row r="424" spans="1:4" s="1" customFormat="1" ht="19.75" customHeight="1" x14ac:dyDescent="0.25">
      <c r="A424" s="8">
        <f>2021</f>
        <v>2021</v>
      </c>
      <c r="B424" s="3" t="s">
        <v>48</v>
      </c>
      <c r="C424" s="4">
        <v>6432.1540999999997</v>
      </c>
      <c r="D424" s="5">
        <v>7547.5245999999997</v>
      </c>
    </row>
    <row r="425" spans="1:4" s="1" customFormat="1" ht="19.75" customHeight="1" x14ac:dyDescent="0.25">
      <c r="A425" s="8">
        <f>2021</f>
        <v>2021</v>
      </c>
      <c r="B425" s="3" t="s">
        <v>49</v>
      </c>
      <c r="C425" s="6">
        <v>82.089699999999993</v>
      </c>
      <c r="D425" s="7">
        <v>98.204099999999997</v>
      </c>
    </row>
    <row r="426" spans="1:4" s="1" customFormat="1" ht="19.75" customHeight="1" x14ac:dyDescent="0.25">
      <c r="A426" s="8">
        <f>2021</f>
        <v>2021</v>
      </c>
      <c r="B426" s="3" t="s">
        <v>50</v>
      </c>
      <c r="C426" s="4">
        <v>153.43430000000001</v>
      </c>
      <c r="D426" s="5">
        <v>185.95400000000001</v>
      </c>
    </row>
    <row r="427" spans="1:4" s="1" customFormat="1" ht="19.75" customHeight="1" x14ac:dyDescent="0.25">
      <c r="A427" s="8">
        <f>2021</f>
        <v>2021</v>
      </c>
      <c r="B427" s="3" t="s">
        <v>51</v>
      </c>
      <c r="C427" s="6">
        <v>442.60969999999998</v>
      </c>
      <c r="D427" s="7">
        <v>511.28429999999997</v>
      </c>
    </row>
    <row r="428" spans="1:4" s="1" customFormat="1" ht="19.75" customHeight="1" x14ac:dyDescent="0.25">
      <c r="A428" s="8">
        <f>2021</f>
        <v>2021</v>
      </c>
      <c r="B428" s="3" t="s">
        <v>52</v>
      </c>
      <c r="C428" s="4">
        <v>72.710899999999995</v>
      </c>
      <c r="D428" s="5">
        <v>108.72069999999999</v>
      </c>
    </row>
    <row r="429" spans="1:4" s="1" customFormat="1" ht="19.75" customHeight="1" x14ac:dyDescent="0.25">
      <c r="A429" s="8">
        <f>2021</f>
        <v>2021</v>
      </c>
      <c r="B429" s="3" t="s">
        <v>98</v>
      </c>
      <c r="C429" s="6">
        <v>12185.594300000001</v>
      </c>
      <c r="D429" s="7">
        <v>14446.677600000001</v>
      </c>
    </row>
    <row r="430" spans="1:4" s="1" customFormat="1" ht="19.75" customHeight="1" x14ac:dyDescent="0.25">
      <c r="A430" s="8">
        <f>2021</f>
        <v>2021</v>
      </c>
      <c r="B430" s="3" t="s">
        <v>53</v>
      </c>
      <c r="C430" s="4">
        <v>229.446</v>
      </c>
      <c r="D430" s="5">
        <v>270.14150000000001</v>
      </c>
    </row>
    <row r="431" spans="1:4" s="1" customFormat="1" ht="19.75" customHeight="1" x14ac:dyDescent="0.25">
      <c r="A431" s="8">
        <f>2021</f>
        <v>2021</v>
      </c>
      <c r="B431" s="3" t="s">
        <v>54</v>
      </c>
      <c r="C431" s="6">
        <v>36.176499999999997</v>
      </c>
      <c r="D431" s="7">
        <v>45.410400000000003</v>
      </c>
    </row>
    <row r="432" spans="1:4" s="1" customFormat="1" ht="19.75" customHeight="1" x14ac:dyDescent="0.25">
      <c r="A432" s="8">
        <f>2021</f>
        <v>2021</v>
      </c>
      <c r="B432" s="3" t="s">
        <v>55</v>
      </c>
      <c r="C432" s="4">
        <v>3161.2723000000001</v>
      </c>
      <c r="D432" s="5">
        <v>4866.4254000000001</v>
      </c>
    </row>
    <row r="433" spans="1:4" s="1" customFormat="1" ht="19.75" customHeight="1" x14ac:dyDescent="0.25">
      <c r="A433" s="8">
        <f>2021</f>
        <v>2021</v>
      </c>
      <c r="B433" s="3" t="s">
        <v>56</v>
      </c>
      <c r="C433" s="6">
        <v>8.4090690000000006</v>
      </c>
      <c r="D433" s="7">
        <v>61.894651000000003</v>
      </c>
    </row>
    <row r="434" spans="1:4" s="1" customFormat="1" ht="19.75" customHeight="1" x14ac:dyDescent="0.25">
      <c r="A434" s="8">
        <f>2021</f>
        <v>2021</v>
      </c>
      <c r="B434" s="3" t="s">
        <v>57</v>
      </c>
      <c r="C434" s="4">
        <v>103.56829999999999</v>
      </c>
      <c r="D434" s="5">
        <v>121.6707</v>
      </c>
    </row>
    <row r="435" spans="1:4" s="1" customFormat="1" ht="19.75" customHeight="1" x14ac:dyDescent="0.25">
      <c r="A435" s="8">
        <f>2021</f>
        <v>2021</v>
      </c>
      <c r="B435" s="3" t="s">
        <v>58</v>
      </c>
      <c r="C435" s="6">
        <v>59.652799999999999</v>
      </c>
      <c r="D435" s="7">
        <v>61.702500000000001</v>
      </c>
    </row>
    <row r="436" spans="1:4" s="1" customFormat="1" ht="19.75" customHeight="1" x14ac:dyDescent="0.25">
      <c r="A436" s="8">
        <f>2021</f>
        <v>2021</v>
      </c>
      <c r="B436" s="3" t="s">
        <v>94</v>
      </c>
      <c r="C436" s="4">
        <v>19.578900000000001</v>
      </c>
      <c r="D436" s="5">
        <v>20.0458</v>
      </c>
    </row>
    <row r="437" spans="1:4" s="1" customFormat="1" ht="19.75" customHeight="1" x14ac:dyDescent="0.25">
      <c r="A437" s="8">
        <f>2021</f>
        <v>2021</v>
      </c>
      <c r="B437" s="3" t="s">
        <v>59</v>
      </c>
      <c r="C437" s="6">
        <v>43.155000000000001</v>
      </c>
      <c r="D437" s="7">
        <v>57.810400000000001</v>
      </c>
    </row>
    <row r="438" spans="1:4" s="1" customFormat="1" ht="19.75" customHeight="1" x14ac:dyDescent="0.25">
      <c r="A438" s="8">
        <f>2021</f>
        <v>2021</v>
      </c>
      <c r="B438" s="3" t="s">
        <v>60</v>
      </c>
      <c r="C438" s="4">
        <v>973.71630000000005</v>
      </c>
      <c r="D438" s="5">
        <v>1177.3172</v>
      </c>
    </row>
    <row r="439" spans="1:4" s="1" customFormat="1" ht="19.75" customHeight="1" x14ac:dyDescent="0.25">
      <c r="A439" s="8">
        <f>2021</f>
        <v>2021</v>
      </c>
      <c r="B439" s="3" t="s">
        <v>61</v>
      </c>
      <c r="C439" s="6">
        <v>1363.4390000000001</v>
      </c>
      <c r="D439" s="7">
        <v>1760.9541999999999</v>
      </c>
    </row>
    <row r="440" spans="1:4" s="1" customFormat="1" ht="19.75" customHeight="1" x14ac:dyDescent="0.25">
      <c r="A440" s="8">
        <f>2021</f>
        <v>2021</v>
      </c>
      <c r="B440" s="3" t="s">
        <v>64</v>
      </c>
      <c r="C440" s="4">
        <v>9.7620679999999993</v>
      </c>
      <c r="D440" s="5">
        <v>14.394451999999999</v>
      </c>
    </row>
    <row r="441" spans="1:4" s="1" customFormat="1" ht="19.75" customHeight="1" x14ac:dyDescent="0.25">
      <c r="A441" s="8">
        <f>2021</f>
        <v>2021</v>
      </c>
      <c r="B441" s="3" t="s">
        <v>65</v>
      </c>
      <c r="C441" s="6">
        <v>47.022399999999998</v>
      </c>
      <c r="D441" s="7">
        <v>59.039000000000001</v>
      </c>
    </row>
    <row r="442" spans="1:4" s="1" customFormat="1" ht="19.75" customHeight="1" x14ac:dyDescent="0.25">
      <c r="A442" s="8">
        <f>2021</f>
        <v>2021</v>
      </c>
      <c r="B442" s="3" t="s">
        <v>66</v>
      </c>
      <c r="C442" s="4">
        <v>12.997349</v>
      </c>
      <c r="D442" s="5">
        <v>204.613145</v>
      </c>
    </row>
    <row r="443" spans="1:4" s="1" customFormat="1" ht="19.75" customHeight="1" x14ac:dyDescent="0.25">
      <c r="A443" s="8">
        <f>2021</f>
        <v>2021</v>
      </c>
      <c r="B443" s="3" t="s">
        <v>67</v>
      </c>
      <c r="C443" s="6">
        <v>233.1909</v>
      </c>
      <c r="D443" s="7">
        <v>306.79079999999999</v>
      </c>
    </row>
    <row r="444" spans="1:4" s="1" customFormat="1" ht="19.75" customHeight="1" x14ac:dyDescent="0.25">
      <c r="A444" s="8">
        <f>2021</f>
        <v>2021</v>
      </c>
      <c r="B444" s="3" t="s">
        <v>68</v>
      </c>
      <c r="C444" s="4">
        <v>630.87350000000004</v>
      </c>
      <c r="D444" s="5">
        <v>710.22289999999998</v>
      </c>
    </row>
    <row r="445" spans="1:4" s="1" customFormat="1" ht="19.75" customHeight="1" x14ac:dyDescent="0.25">
      <c r="A445" s="8">
        <f>2021</f>
        <v>2021</v>
      </c>
      <c r="B445" s="3" t="s">
        <v>69</v>
      </c>
      <c r="C445" s="6">
        <v>301.68810000000002</v>
      </c>
      <c r="D445" s="7">
        <v>399.03300000000002</v>
      </c>
    </row>
    <row r="446" spans="1:4" s="1" customFormat="1" ht="19.75" customHeight="1" x14ac:dyDescent="0.25">
      <c r="A446" s="8">
        <f>2021</f>
        <v>2021</v>
      </c>
      <c r="B446" s="3" t="s">
        <v>95</v>
      </c>
      <c r="C446" s="4">
        <v>4.2713000000000001</v>
      </c>
      <c r="D446" s="5">
        <v>13.553599999999999</v>
      </c>
    </row>
    <row r="447" spans="1:4" s="1" customFormat="1" ht="19.75" customHeight="1" x14ac:dyDescent="0.25">
      <c r="A447" s="8">
        <f>2021</f>
        <v>2021</v>
      </c>
      <c r="B447" s="3" t="s">
        <v>71</v>
      </c>
      <c r="C447" s="6">
        <v>10764.726634000001</v>
      </c>
      <c r="D447" s="7">
        <v>13329.369898999999</v>
      </c>
    </row>
    <row r="448" spans="1:4" s="1" customFormat="1" ht="19.75" customHeight="1" x14ac:dyDescent="0.25">
      <c r="A448" s="8">
        <f>2021</f>
        <v>2021</v>
      </c>
      <c r="B448" s="3" t="s">
        <v>72</v>
      </c>
      <c r="C448" s="4">
        <v>1298.171859</v>
      </c>
      <c r="D448" s="5">
        <v>1462.6011920000001</v>
      </c>
    </row>
    <row r="449" spans="1:4" s="1" customFormat="1" ht="19.75" customHeight="1" x14ac:dyDescent="0.25">
      <c r="A449" s="8">
        <f>2021</f>
        <v>2021</v>
      </c>
      <c r="B449" s="3" t="s">
        <v>99</v>
      </c>
      <c r="C449" s="6">
        <v>168.8646</v>
      </c>
      <c r="D449" s="7">
        <v>170.22319999999999</v>
      </c>
    </row>
    <row r="450" spans="1:4" s="1" customFormat="1" ht="19.75" customHeight="1" x14ac:dyDescent="0.25">
      <c r="A450" s="8">
        <f>2021</f>
        <v>2021</v>
      </c>
      <c r="B450" s="3" t="s">
        <v>75</v>
      </c>
      <c r="C450" s="4">
        <v>72.775599999999997</v>
      </c>
      <c r="D450" s="5">
        <v>94.647499999999994</v>
      </c>
    </row>
    <row r="451" spans="1:4" s="1" customFormat="1" ht="19.75" customHeight="1" x14ac:dyDescent="0.25">
      <c r="A451" s="8">
        <f>2021</f>
        <v>2021</v>
      </c>
      <c r="B451" s="3" t="s">
        <v>76</v>
      </c>
      <c r="C451" s="6">
        <v>221.32950500000001</v>
      </c>
      <c r="D451" s="7">
        <v>257.13631700000002</v>
      </c>
    </row>
    <row r="452" spans="1:4" s="1" customFormat="1" ht="19.75" customHeight="1" x14ac:dyDescent="0.25">
      <c r="A452" s="8">
        <f>2021</f>
        <v>2021</v>
      </c>
      <c r="B452" s="3" t="s">
        <v>77</v>
      </c>
      <c r="C452" s="4">
        <v>4950.0515489999998</v>
      </c>
      <c r="D452" s="5">
        <v>6370.9841980000001</v>
      </c>
    </row>
    <row r="453" spans="1:4" s="1" customFormat="1" ht="19.75" customHeight="1" x14ac:dyDescent="0.25">
      <c r="A453" s="8">
        <f>2021</f>
        <v>2021</v>
      </c>
      <c r="B453" s="3" t="s">
        <v>78</v>
      </c>
      <c r="C453" s="6">
        <v>511.43880000000001</v>
      </c>
      <c r="D453" s="7">
        <v>557.27210000000002</v>
      </c>
    </row>
    <row r="454" spans="1:4" s="1" customFormat="1" ht="19.75" customHeight="1" x14ac:dyDescent="0.25">
      <c r="A454" s="8">
        <f>2021</f>
        <v>2021</v>
      </c>
      <c r="B454" s="3" t="s">
        <v>79</v>
      </c>
      <c r="C454" s="4">
        <v>3194.4132</v>
      </c>
      <c r="D454" s="5">
        <v>3612.4679000000001</v>
      </c>
    </row>
    <row r="455" spans="1:4" s="1" customFormat="1" ht="19.75" customHeight="1" x14ac:dyDescent="0.25">
      <c r="A455" s="8">
        <f>2021</f>
        <v>2021</v>
      </c>
      <c r="B455" s="3" t="s">
        <v>80</v>
      </c>
      <c r="C455" s="6">
        <v>1641.1729</v>
      </c>
      <c r="D455" s="7">
        <v>1768.4208000000001</v>
      </c>
    </row>
    <row r="456" spans="1:4" s="1" customFormat="1" ht="19.75" customHeight="1" x14ac:dyDescent="0.25">
      <c r="A456" s="8">
        <f>2021</f>
        <v>2021</v>
      </c>
      <c r="B456" s="3" t="s">
        <v>96</v>
      </c>
      <c r="C456" s="4">
        <v>1251.03181</v>
      </c>
      <c r="D456" s="5">
        <v>1376.7157500000001</v>
      </c>
    </row>
    <row r="457" spans="1:4" s="1" customFormat="1" ht="19.75" customHeight="1" x14ac:dyDescent="0.25">
      <c r="A457" s="8">
        <f>2021</f>
        <v>2021</v>
      </c>
      <c r="B457" s="3" t="s">
        <v>81</v>
      </c>
      <c r="C457" s="6">
        <v>2497.7080000000001</v>
      </c>
      <c r="D457" s="7">
        <v>2732.7881000000002</v>
      </c>
    </row>
    <row r="458" spans="1:4" s="1" customFormat="1" ht="19.75" customHeight="1" x14ac:dyDescent="0.25">
      <c r="A458" s="8">
        <f>2021</f>
        <v>2021</v>
      </c>
      <c r="B458" s="3" t="s">
        <v>82</v>
      </c>
      <c r="C458" s="4">
        <v>314.4135</v>
      </c>
      <c r="D458" s="5">
        <v>332.3766</v>
      </c>
    </row>
    <row r="459" spans="1:4" s="1" customFormat="1" ht="19.75" customHeight="1" x14ac:dyDescent="0.25">
      <c r="A459" s="8">
        <f>2021</f>
        <v>2021</v>
      </c>
      <c r="B459" s="3" t="s">
        <v>84</v>
      </c>
      <c r="C459" s="6">
        <v>776.14940000000001</v>
      </c>
      <c r="D459" s="7">
        <v>852.54690000000005</v>
      </c>
    </row>
    <row r="460" spans="1:4" s="1" customFormat="1" ht="19.75" customHeight="1" x14ac:dyDescent="0.25">
      <c r="A460" s="8">
        <f>2021</f>
        <v>2021</v>
      </c>
      <c r="B460" s="3" t="s">
        <v>85</v>
      </c>
      <c r="C460" s="4">
        <v>2806.0655689999999</v>
      </c>
      <c r="D460" s="5">
        <v>3108.3746729999998</v>
      </c>
    </row>
    <row r="461" spans="1:4" s="1" customFormat="1" ht="19.75" customHeight="1" x14ac:dyDescent="0.25">
      <c r="A461" s="8">
        <f>2021</f>
        <v>2021</v>
      </c>
      <c r="B461" s="3" t="s">
        <v>87</v>
      </c>
      <c r="C461" s="6">
        <v>1580.9873</v>
      </c>
      <c r="D461" s="7">
        <v>1705.8362999999999</v>
      </c>
    </row>
    <row r="462" spans="1:4" s="1" customFormat="1" ht="19.75" customHeight="1" x14ac:dyDescent="0.25">
      <c r="A462" s="8">
        <f>2021</f>
        <v>2021</v>
      </c>
      <c r="B462" s="3" t="s">
        <v>89</v>
      </c>
      <c r="C462" s="4">
        <v>20.254899999999999</v>
      </c>
      <c r="D462" s="5">
        <v>791.02700000000004</v>
      </c>
    </row>
    <row r="463" spans="1:4" s="1" customFormat="1" ht="19.75" customHeight="1" x14ac:dyDescent="0.25">
      <c r="A463" s="8">
        <f>2021</f>
        <v>2021</v>
      </c>
      <c r="B463" s="3" t="s">
        <v>90</v>
      </c>
      <c r="C463" s="6">
        <v>80.442999999999998</v>
      </c>
      <c r="D463" s="7">
        <v>213.04390000000001</v>
      </c>
    </row>
    <row r="464" spans="1:4" s="1" customFormat="1" ht="19.75" customHeight="1" x14ac:dyDescent="0.25">
      <c r="A464" s="8">
        <f>2020</f>
        <v>2020</v>
      </c>
      <c r="B464" s="3" t="s">
        <v>100</v>
      </c>
      <c r="C464" s="4">
        <v>16925.016100000001</v>
      </c>
      <c r="D464" s="5">
        <v>19381.7039</v>
      </c>
    </row>
    <row r="465" spans="1:4" s="1" customFormat="1" ht="19.75" customHeight="1" x14ac:dyDescent="0.25">
      <c r="A465" s="8">
        <f>2020</f>
        <v>2020</v>
      </c>
      <c r="B465" s="3" t="s">
        <v>101</v>
      </c>
      <c r="C465" s="6">
        <v>19784.179100000001</v>
      </c>
      <c r="D465" s="7">
        <v>22527.1211</v>
      </c>
    </row>
    <row r="466" spans="1:4" s="1" customFormat="1" ht="19.75" customHeight="1" x14ac:dyDescent="0.25">
      <c r="A466" s="8">
        <f>2020</f>
        <v>2020</v>
      </c>
      <c r="B466" s="3" t="s">
        <v>0</v>
      </c>
      <c r="C466" s="4">
        <v>75983.654999999999</v>
      </c>
      <c r="D466" s="5">
        <v>86300.978799999997</v>
      </c>
    </row>
    <row r="467" spans="1:4" s="1" customFormat="1" ht="19.75" customHeight="1" x14ac:dyDescent="0.25">
      <c r="A467" s="8">
        <f>2020</f>
        <v>2020</v>
      </c>
      <c r="B467" s="3" t="s">
        <v>1</v>
      </c>
      <c r="C467" s="6">
        <v>42353.266799999998</v>
      </c>
      <c r="D467" s="7">
        <v>49066.340915000001</v>
      </c>
    </row>
    <row r="468" spans="1:4" s="1" customFormat="1" ht="19.75" customHeight="1" x14ac:dyDescent="0.25">
      <c r="A468" s="8">
        <f>2020</f>
        <v>2020</v>
      </c>
      <c r="B468" s="3" t="s">
        <v>2</v>
      </c>
      <c r="C468" s="4">
        <v>11495.447099999999</v>
      </c>
      <c r="D468" s="5">
        <v>13144.6738</v>
      </c>
    </row>
    <row r="469" spans="1:4" s="1" customFormat="1" ht="19.75" customHeight="1" x14ac:dyDescent="0.25">
      <c r="A469" s="8">
        <f>2020</f>
        <v>2020</v>
      </c>
      <c r="B469" s="3" t="s">
        <v>3</v>
      </c>
      <c r="C469" s="6">
        <v>48934.9902</v>
      </c>
      <c r="D469" s="7">
        <v>56748.144800000002</v>
      </c>
    </row>
    <row r="470" spans="1:4" s="1" customFormat="1" ht="19.75" customHeight="1" x14ac:dyDescent="0.25">
      <c r="A470" s="8">
        <f>2020</f>
        <v>2020</v>
      </c>
      <c r="B470" s="3" t="s">
        <v>4</v>
      </c>
      <c r="C470" s="4">
        <v>23562.465499999998</v>
      </c>
      <c r="D470" s="5">
        <v>27199.287100000001</v>
      </c>
    </row>
    <row r="471" spans="1:4" s="1" customFormat="1" ht="19.75" customHeight="1" x14ac:dyDescent="0.25">
      <c r="A471" s="8">
        <f>2020</f>
        <v>2020</v>
      </c>
      <c r="B471" s="3" t="s">
        <v>102</v>
      </c>
      <c r="C471" s="6">
        <v>16170.579400000001</v>
      </c>
      <c r="D471" s="7">
        <v>19919.778999999999</v>
      </c>
    </row>
    <row r="472" spans="1:4" s="1" customFormat="1" ht="19.75" customHeight="1" x14ac:dyDescent="0.25">
      <c r="A472" s="8">
        <f>2020</f>
        <v>2020</v>
      </c>
      <c r="B472" s="3" t="s">
        <v>5</v>
      </c>
      <c r="C472" s="4">
        <v>21404.9692</v>
      </c>
      <c r="D472" s="5">
        <v>24717.433499999999</v>
      </c>
    </row>
    <row r="473" spans="1:4" s="1" customFormat="1" ht="19.75" customHeight="1" x14ac:dyDescent="0.25">
      <c r="A473" s="8">
        <f>2020</f>
        <v>2020</v>
      </c>
      <c r="B473" s="3" t="s">
        <v>6</v>
      </c>
      <c r="C473" s="6">
        <v>17406.112415</v>
      </c>
      <c r="D473" s="7">
        <v>20765.791309</v>
      </c>
    </row>
    <row r="474" spans="1:4" s="1" customFormat="1" ht="19.75" customHeight="1" x14ac:dyDescent="0.25">
      <c r="A474" s="8">
        <f>2020</f>
        <v>2020</v>
      </c>
      <c r="B474" s="3" t="s">
        <v>103</v>
      </c>
      <c r="C474" s="4">
        <v>19193.0726</v>
      </c>
      <c r="D474" s="5">
        <v>22398.005399999998</v>
      </c>
    </row>
    <row r="475" spans="1:4" s="1" customFormat="1" ht="19.75" customHeight="1" x14ac:dyDescent="0.25">
      <c r="A475" s="8">
        <f>2020</f>
        <v>2020</v>
      </c>
      <c r="B475" s="3" t="s">
        <v>7</v>
      </c>
      <c r="C475" s="6">
        <v>7929.5261</v>
      </c>
      <c r="D475" s="7">
        <v>8826.9236000000001</v>
      </c>
    </row>
    <row r="476" spans="1:4" s="1" customFormat="1" ht="19.75" customHeight="1" x14ac:dyDescent="0.25">
      <c r="A476" s="8">
        <f>2020</f>
        <v>2020</v>
      </c>
      <c r="B476" s="3" t="s">
        <v>8</v>
      </c>
      <c r="C476" s="4">
        <v>53800.0337</v>
      </c>
      <c r="D476" s="5">
        <v>63074.161399999997</v>
      </c>
    </row>
    <row r="477" spans="1:4" s="1" customFormat="1" ht="19.75" customHeight="1" x14ac:dyDescent="0.25">
      <c r="A477" s="8">
        <f>2020</f>
        <v>2020</v>
      </c>
      <c r="B477" s="3" t="s">
        <v>9</v>
      </c>
      <c r="C477" s="6">
        <v>257323.59220000001</v>
      </c>
      <c r="D477" s="7">
        <v>302545.07020000002</v>
      </c>
    </row>
    <row r="478" spans="1:4" s="1" customFormat="1" ht="19.75" customHeight="1" x14ac:dyDescent="0.25">
      <c r="A478" s="8">
        <f>2020</f>
        <v>2020</v>
      </c>
      <c r="B478" s="3" t="s">
        <v>104</v>
      </c>
      <c r="C478" s="4">
        <v>21915.2114</v>
      </c>
      <c r="D478" s="5">
        <v>24962.327099999999</v>
      </c>
    </row>
    <row r="479" spans="1:4" s="1" customFormat="1" ht="19.75" customHeight="1" x14ac:dyDescent="0.25">
      <c r="A479" s="8">
        <f>2020</f>
        <v>2020</v>
      </c>
      <c r="B479" s="3" t="s">
        <v>10</v>
      </c>
      <c r="C479" s="6">
        <v>15134.333199999999</v>
      </c>
      <c r="D479" s="7">
        <v>18005.546200000001</v>
      </c>
    </row>
    <row r="480" spans="1:4" s="1" customFormat="1" ht="19.75" customHeight="1" x14ac:dyDescent="0.25">
      <c r="A480" s="8">
        <f>2020</f>
        <v>2020</v>
      </c>
      <c r="B480" s="3" t="s">
        <v>11</v>
      </c>
      <c r="C480" s="4">
        <v>37231.123800000001</v>
      </c>
      <c r="D480" s="5">
        <v>42491.910600000003</v>
      </c>
    </row>
    <row r="481" spans="1:4" s="1" customFormat="1" ht="19.75" customHeight="1" x14ac:dyDescent="0.25">
      <c r="A481" s="8">
        <f>2020</f>
        <v>2020</v>
      </c>
      <c r="B481" s="3" t="s">
        <v>105</v>
      </c>
      <c r="C481" s="6">
        <v>9655.5447000000004</v>
      </c>
      <c r="D481" s="7">
        <v>12244.5861</v>
      </c>
    </row>
    <row r="482" spans="1:4" s="1" customFormat="1" ht="19.75" customHeight="1" x14ac:dyDescent="0.25">
      <c r="A482" s="8">
        <f>2020</f>
        <v>2020</v>
      </c>
      <c r="B482" s="3" t="s">
        <v>12</v>
      </c>
      <c r="C482" s="4">
        <v>62635.157399999996</v>
      </c>
      <c r="D482" s="5">
        <v>78171.718099999998</v>
      </c>
    </row>
    <row r="483" spans="1:4" s="1" customFormat="1" ht="19.75" customHeight="1" x14ac:dyDescent="0.25">
      <c r="A483" s="8">
        <f>2020</f>
        <v>2020</v>
      </c>
      <c r="B483" s="3" t="s">
        <v>13</v>
      </c>
      <c r="C483" s="6">
        <v>10885.493336</v>
      </c>
      <c r="D483" s="7">
        <v>12434.690780000001</v>
      </c>
    </row>
    <row r="484" spans="1:4" s="1" customFormat="1" ht="19.75" customHeight="1" x14ac:dyDescent="0.25">
      <c r="A484" s="8">
        <f>2020</f>
        <v>2020</v>
      </c>
      <c r="B484" s="3" t="s">
        <v>14</v>
      </c>
      <c r="C484" s="4">
        <v>4168.6027999999997</v>
      </c>
      <c r="D484" s="5">
        <v>4848.549</v>
      </c>
    </row>
    <row r="485" spans="1:4" s="1" customFormat="1" ht="19.75" customHeight="1" x14ac:dyDescent="0.25">
      <c r="A485" s="8">
        <f>2020</f>
        <v>2020</v>
      </c>
      <c r="B485" s="3" t="s">
        <v>15</v>
      </c>
      <c r="C485" s="6">
        <v>1509.8865000000001</v>
      </c>
      <c r="D485" s="7">
        <v>1731.4964</v>
      </c>
    </row>
    <row r="486" spans="1:4" s="1" customFormat="1" ht="19.75" customHeight="1" x14ac:dyDescent="0.25">
      <c r="A486" s="8">
        <f>2020</f>
        <v>2020</v>
      </c>
      <c r="B486" s="3" t="s">
        <v>16</v>
      </c>
      <c r="C486" s="4">
        <v>3536.6329000000001</v>
      </c>
      <c r="D486" s="5">
        <v>3927.7249000000002</v>
      </c>
    </row>
    <row r="487" spans="1:4" s="1" customFormat="1" ht="19.75" customHeight="1" x14ac:dyDescent="0.25">
      <c r="A487" s="8">
        <f>2020</f>
        <v>2020</v>
      </c>
      <c r="B487" s="3" t="s">
        <v>17</v>
      </c>
      <c r="C487" s="6">
        <v>987.58969999999999</v>
      </c>
      <c r="D487" s="7">
        <v>1100.4395999999999</v>
      </c>
    </row>
    <row r="488" spans="1:4" s="1" customFormat="1" ht="19.75" customHeight="1" x14ac:dyDescent="0.25">
      <c r="A488" s="8">
        <f>2020</f>
        <v>2020</v>
      </c>
      <c r="B488" s="3" t="s">
        <v>18</v>
      </c>
      <c r="C488" s="4">
        <v>13210.753352</v>
      </c>
      <c r="D488" s="5">
        <v>15142.160894000001</v>
      </c>
    </row>
    <row r="489" spans="1:4" s="1" customFormat="1" ht="19.75" customHeight="1" x14ac:dyDescent="0.25">
      <c r="A489" s="8">
        <f>2020</f>
        <v>2020</v>
      </c>
      <c r="B489" s="3" t="s">
        <v>19</v>
      </c>
      <c r="C489" s="6">
        <v>114812.65089999999</v>
      </c>
      <c r="D489" s="7">
        <v>138073.46960000001</v>
      </c>
    </row>
    <row r="490" spans="1:4" s="1" customFormat="1" ht="19.75" customHeight="1" x14ac:dyDescent="0.25">
      <c r="A490" s="8">
        <f>2020</f>
        <v>2020</v>
      </c>
      <c r="B490" s="3" t="s">
        <v>20</v>
      </c>
      <c r="C490" s="4">
        <v>74798.316600000006</v>
      </c>
      <c r="D490" s="5">
        <v>91246.938599999994</v>
      </c>
    </row>
    <row r="491" spans="1:4" s="1" customFormat="1" ht="19.75" customHeight="1" x14ac:dyDescent="0.25">
      <c r="A491" s="8">
        <f>2020</f>
        <v>2020</v>
      </c>
      <c r="B491" s="3" t="s">
        <v>21</v>
      </c>
      <c r="C491" s="6">
        <v>20825.113818000002</v>
      </c>
      <c r="D491" s="7">
        <v>25295.477631999998</v>
      </c>
    </row>
    <row r="492" spans="1:4" s="1" customFormat="1" ht="19.75" customHeight="1" x14ac:dyDescent="0.25">
      <c r="A492" s="8">
        <f>2020</f>
        <v>2020</v>
      </c>
      <c r="B492" s="3" t="s">
        <v>22</v>
      </c>
      <c r="C492" s="4">
        <v>16307.56452</v>
      </c>
      <c r="D492" s="5">
        <v>18029.722185999999</v>
      </c>
    </row>
    <row r="493" spans="1:4" s="1" customFormat="1" ht="19.75" customHeight="1" x14ac:dyDescent="0.25">
      <c r="A493" s="8">
        <f>2020</f>
        <v>2020</v>
      </c>
      <c r="B493" s="3" t="s">
        <v>23</v>
      </c>
      <c r="C493" s="6">
        <v>28782.829900000001</v>
      </c>
      <c r="D493" s="7">
        <v>35734.1394</v>
      </c>
    </row>
    <row r="494" spans="1:4" s="1" customFormat="1" ht="19.75" customHeight="1" x14ac:dyDescent="0.25">
      <c r="A494" s="8">
        <f>2020</f>
        <v>2020</v>
      </c>
      <c r="B494" s="3" t="s">
        <v>24</v>
      </c>
      <c r="C494" s="4">
        <v>8446.2888999999996</v>
      </c>
      <c r="D494" s="5">
        <v>8992.2096000000001</v>
      </c>
    </row>
    <row r="495" spans="1:4" s="1" customFormat="1" ht="19.75" customHeight="1" x14ac:dyDescent="0.25">
      <c r="A495" s="8">
        <f>2020</f>
        <v>2020</v>
      </c>
      <c r="B495" s="3" t="s">
        <v>25</v>
      </c>
      <c r="C495" s="6">
        <v>6474.7699000000002</v>
      </c>
      <c r="D495" s="7">
        <v>7736.3953000000001</v>
      </c>
    </row>
    <row r="496" spans="1:4" s="1" customFormat="1" ht="19.75" customHeight="1" x14ac:dyDescent="0.25">
      <c r="A496" s="8">
        <f>2020</f>
        <v>2020</v>
      </c>
      <c r="B496" s="3" t="s">
        <v>26</v>
      </c>
      <c r="C496" s="4">
        <v>5989.9857540000003</v>
      </c>
      <c r="D496" s="5">
        <v>7144.603932</v>
      </c>
    </row>
    <row r="497" spans="1:4" s="1" customFormat="1" ht="19.75" customHeight="1" x14ac:dyDescent="0.25">
      <c r="A497" s="8">
        <f>2020</f>
        <v>2020</v>
      </c>
      <c r="B497" s="3" t="s">
        <v>27</v>
      </c>
      <c r="C497" s="6">
        <v>26929.6142</v>
      </c>
      <c r="D497" s="7">
        <v>32301.721882999998</v>
      </c>
    </row>
    <row r="498" spans="1:4" s="1" customFormat="1" ht="19.75" customHeight="1" x14ac:dyDescent="0.25">
      <c r="A498" s="8">
        <f>2020</f>
        <v>2020</v>
      </c>
      <c r="B498" s="3" t="s">
        <v>106</v>
      </c>
      <c r="C498" s="4">
        <v>2206.6855</v>
      </c>
      <c r="D498" s="5">
        <v>2558.0302000000001</v>
      </c>
    </row>
    <row r="499" spans="1:4" s="1" customFormat="1" ht="19.75" customHeight="1" x14ac:dyDescent="0.25">
      <c r="A499" s="8">
        <f>2020</f>
        <v>2020</v>
      </c>
      <c r="B499" s="3" t="s">
        <v>28</v>
      </c>
      <c r="C499" s="6">
        <v>687.02030000000002</v>
      </c>
      <c r="D499" s="7">
        <v>727.69367699999998</v>
      </c>
    </row>
    <row r="500" spans="1:4" s="1" customFormat="1" ht="19.75" customHeight="1" x14ac:dyDescent="0.25">
      <c r="A500" s="8">
        <f>2020</f>
        <v>2020</v>
      </c>
      <c r="B500" s="3" t="s">
        <v>29</v>
      </c>
      <c r="C500" s="4">
        <v>8514.3770999999997</v>
      </c>
      <c r="D500" s="5">
        <v>10424.626700000001</v>
      </c>
    </row>
    <row r="501" spans="1:4" s="1" customFormat="1" ht="19.75" customHeight="1" x14ac:dyDescent="0.25">
      <c r="A501" s="8">
        <f>2020</f>
        <v>2020</v>
      </c>
      <c r="B501" s="3" t="s">
        <v>30</v>
      </c>
      <c r="C501" s="6">
        <v>7763.7981</v>
      </c>
      <c r="D501" s="7">
        <v>8809.5483999999997</v>
      </c>
    </row>
    <row r="502" spans="1:4" s="1" customFormat="1" ht="19.75" customHeight="1" x14ac:dyDescent="0.25">
      <c r="A502" s="8">
        <f>2020</f>
        <v>2020</v>
      </c>
      <c r="B502" s="3" t="s">
        <v>31</v>
      </c>
      <c r="C502" s="4">
        <v>3466.1116999999999</v>
      </c>
      <c r="D502" s="5">
        <v>3992.5286000000001</v>
      </c>
    </row>
    <row r="503" spans="1:4" s="1" customFormat="1" ht="19.75" customHeight="1" x14ac:dyDescent="0.25">
      <c r="A503" s="8">
        <f>2020</f>
        <v>2020</v>
      </c>
      <c r="B503" s="3" t="s">
        <v>32</v>
      </c>
      <c r="C503" s="6">
        <v>26066.603899999998</v>
      </c>
      <c r="D503" s="7">
        <v>37923.097699999998</v>
      </c>
    </row>
    <row r="504" spans="1:4" s="1" customFormat="1" ht="19.75" customHeight="1" x14ac:dyDescent="0.25">
      <c r="A504" s="8">
        <f>2020</f>
        <v>2020</v>
      </c>
      <c r="B504" s="3" t="s">
        <v>92</v>
      </c>
      <c r="C504" s="4">
        <v>7.1075999999999997</v>
      </c>
      <c r="D504" s="5">
        <v>33.116399999999999</v>
      </c>
    </row>
    <row r="505" spans="1:4" s="1" customFormat="1" ht="19.75" customHeight="1" x14ac:dyDescent="0.25">
      <c r="A505" s="8">
        <f>2020</f>
        <v>2020</v>
      </c>
      <c r="B505" s="3" t="s">
        <v>97</v>
      </c>
      <c r="C505" s="6">
        <v>95.223200000000006</v>
      </c>
      <c r="D505" s="7">
        <v>89.441299999999998</v>
      </c>
    </row>
    <row r="506" spans="1:4" s="1" customFormat="1" ht="19.75" customHeight="1" x14ac:dyDescent="0.25">
      <c r="A506" s="8">
        <f>2020</f>
        <v>2020</v>
      </c>
      <c r="B506" s="3" t="s">
        <v>34</v>
      </c>
      <c r="C506" s="4">
        <v>687.29359999999997</v>
      </c>
      <c r="D506" s="5">
        <v>2150.9742999999999</v>
      </c>
    </row>
    <row r="507" spans="1:4" s="1" customFormat="1" ht="30.4" customHeight="1" x14ac:dyDescent="0.25">
      <c r="A507" s="8">
        <f>2020</f>
        <v>2020</v>
      </c>
      <c r="B507" s="3" t="s">
        <v>35</v>
      </c>
      <c r="C507" s="6">
        <v>415.44779999999997</v>
      </c>
      <c r="D507" s="7">
        <v>516.26379999999995</v>
      </c>
    </row>
    <row r="508" spans="1:4" s="1" customFormat="1" ht="19.75" customHeight="1" x14ac:dyDescent="0.25">
      <c r="A508" s="8">
        <f>2020</f>
        <v>2020</v>
      </c>
      <c r="B508" s="3" t="s">
        <v>36</v>
      </c>
      <c r="C508" s="4">
        <v>3646.2887999999998</v>
      </c>
      <c r="D508" s="5">
        <v>4717.5348999999997</v>
      </c>
    </row>
    <row r="509" spans="1:4" s="1" customFormat="1" ht="19.75" customHeight="1" x14ac:dyDescent="0.25">
      <c r="A509" s="8">
        <f>2020</f>
        <v>2020</v>
      </c>
      <c r="B509" s="3" t="s">
        <v>37</v>
      </c>
      <c r="C509" s="6">
        <v>193.67585299999999</v>
      </c>
      <c r="D509" s="7">
        <v>213.13818499999999</v>
      </c>
    </row>
    <row r="510" spans="1:4" s="1" customFormat="1" ht="19.75" customHeight="1" x14ac:dyDescent="0.25">
      <c r="A510" s="8">
        <f>2020</f>
        <v>2020</v>
      </c>
      <c r="B510" s="3" t="s">
        <v>38</v>
      </c>
      <c r="C510" s="4">
        <v>42.096499999999999</v>
      </c>
      <c r="D510" s="5">
        <v>48.813699999999997</v>
      </c>
    </row>
    <row r="511" spans="1:4" s="1" customFormat="1" ht="19.75" customHeight="1" x14ac:dyDescent="0.25">
      <c r="A511" s="8">
        <f>2020</f>
        <v>2020</v>
      </c>
      <c r="B511" s="3" t="s">
        <v>39</v>
      </c>
      <c r="C511" s="6">
        <v>17.137799999999999</v>
      </c>
      <c r="D511" s="7">
        <v>16.8611</v>
      </c>
    </row>
    <row r="512" spans="1:4" s="1" customFormat="1" ht="19.75" customHeight="1" x14ac:dyDescent="0.25">
      <c r="A512" s="8">
        <f>2020</f>
        <v>2020</v>
      </c>
      <c r="B512" s="3" t="s">
        <v>40</v>
      </c>
      <c r="C512" s="4">
        <v>303.47590000000002</v>
      </c>
      <c r="D512" s="5">
        <v>341.74290000000002</v>
      </c>
    </row>
    <row r="513" spans="1:4" s="1" customFormat="1" ht="19.75" customHeight="1" x14ac:dyDescent="0.25">
      <c r="A513" s="8">
        <f>2020</f>
        <v>2020</v>
      </c>
      <c r="B513" s="3" t="s">
        <v>41</v>
      </c>
      <c r="C513" s="6">
        <v>1654.7854</v>
      </c>
      <c r="D513" s="7">
        <v>1981.7641000000001</v>
      </c>
    </row>
    <row r="514" spans="1:4" s="1" customFormat="1" ht="19.75" customHeight="1" x14ac:dyDescent="0.25">
      <c r="A514" s="8">
        <f>2020</f>
        <v>2020</v>
      </c>
      <c r="B514" s="3" t="s">
        <v>42</v>
      </c>
      <c r="C514" s="4">
        <v>2394.1993000000002</v>
      </c>
      <c r="D514" s="5">
        <v>2435.3805000000002</v>
      </c>
    </row>
    <row r="515" spans="1:4" s="1" customFormat="1" ht="19.75" customHeight="1" x14ac:dyDescent="0.25">
      <c r="A515" s="8">
        <f>2020</f>
        <v>2020</v>
      </c>
      <c r="B515" s="3" t="s">
        <v>43</v>
      </c>
      <c r="C515" s="6">
        <v>12949.143639</v>
      </c>
      <c r="D515" s="7">
        <v>17701.956874</v>
      </c>
    </row>
    <row r="516" spans="1:4" s="1" customFormat="1" ht="19.75" customHeight="1" x14ac:dyDescent="0.25">
      <c r="A516" s="8">
        <f>2020</f>
        <v>2020</v>
      </c>
      <c r="B516" s="3" t="s">
        <v>44</v>
      </c>
      <c r="C516" s="4">
        <v>407.30020000000002</v>
      </c>
      <c r="D516" s="5">
        <v>417.87329999999997</v>
      </c>
    </row>
    <row r="517" spans="1:4" s="1" customFormat="1" ht="19.75" customHeight="1" x14ac:dyDescent="0.25">
      <c r="A517" s="8">
        <f>2020</f>
        <v>2020</v>
      </c>
      <c r="B517" s="3" t="s">
        <v>45</v>
      </c>
      <c r="C517" s="6">
        <v>569.68234099999995</v>
      </c>
      <c r="D517" s="7">
        <v>616.08444099999997</v>
      </c>
    </row>
    <row r="518" spans="1:4" s="1" customFormat="1" ht="19.75" customHeight="1" x14ac:dyDescent="0.25">
      <c r="A518" s="8">
        <f>2020</f>
        <v>2020</v>
      </c>
      <c r="B518" s="3" t="s">
        <v>93</v>
      </c>
      <c r="C518" s="4">
        <v>459.30059999999997</v>
      </c>
      <c r="D518" s="5">
        <v>389.64490000000001</v>
      </c>
    </row>
    <row r="519" spans="1:4" s="1" customFormat="1" ht="19.75" customHeight="1" x14ac:dyDescent="0.25">
      <c r="A519" s="8">
        <f>2020</f>
        <v>2020</v>
      </c>
      <c r="B519" s="3" t="s">
        <v>46</v>
      </c>
      <c r="C519" s="6">
        <v>107.42270000000001</v>
      </c>
      <c r="D519" s="7">
        <v>119.55</v>
      </c>
    </row>
    <row r="520" spans="1:4" s="1" customFormat="1" ht="19.75" customHeight="1" x14ac:dyDescent="0.25">
      <c r="A520" s="8">
        <f>2020</f>
        <v>2020</v>
      </c>
      <c r="B520" s="3" t="s">
        <v>47</v>
      </c>
      <c r="C520" s="4">
        <v>3246.3978000000002</v>
      </c>
      <c r="D520" s="5">
        <v>3520.7296000000001</v>
      </c>
    </row>
    <row r="521" spans="1:4" s="1" customFormat="1" ht="19.75" customHeight="1" x14ac:dyDescent="0.25">
      <c r="A521" s="8">
        <f>2020</f>
        <v>2020</v>
      </c>
      <c r="B521" s="3" t="s">
        <v>48</v>
      </c>
      <c r="C521" s="6">
        <v>6654.1711999999998</v>
      </c>
      <c r="D521" s="7">
        <v>7386.0491000000002</v>
      </c>
    </row>
    <row r="522" spans="1:4" s="1" customFormat="1" ht="19.75" customHeight="1" x14ac:dyDescent="0.25">
      <c r="A522" s="8">
        <f>2020</f>
        <v>2020</v>
      </c>
      <c r="B522" s="3" t="s">
        <v>49</v>
      </c>
      <c r="C522" s="4">
        <v>96.064300000000003</v>
      </c>
      <c r="D522" s="5">
        <v>115.6292</v>
      </c>
    </row>
    <row r="523" spans="1:4" s="1" customFormat="1" ht="19.75" customHeight="1" x14ac:dyDescent="0.25">
      <c r="A523" s="8">
        <f>2020</f>
        <v>2020</v>
      </c>
      <c r="B523" s="3" t="s">
        <v>50</v>
      </c>
      <c r="C523" s="6">
        <v>144.55080000000001</v>
      </c>
      <c r="D523" s="7">
        <v>162.4957</v>
      </c>
    </row>
    <row r="524" spans="1:4" s="1" customFormat="1" ht="19.75" customHeight="1" x14ac:dyDescent="0.25">
      <c r="A524" s="8">
        <f>2020</f>
        <v>2020</v>
      </c>
      <c r="B524" s="3" t="s">
        <v>51</v>
      </c>
      <c r="C524" s="4">
        <v>309.6712</v>
      </c>
      <c r="D524" s="5">
        <v>375.89449999999999</v>
      </c>
    </row>
    <row r="525" spans="1:4" s="1" customFormat="1" ht="19.75" customHeight="1" x14ac:dyDescent="0.25">
      <c r="A525" s="8">
        <f>2020</f>
        <v>2020</v>
      </c>
      <c r="B525" s="3" t="s">
        <v>52</v>
      </c>
      <c r="C525" s="6">
        <v>121.81019999999999</v>
      </c>
      <c r="D525" s="7">
        <v>160.8912</v>
      </c>
    </row>
    <row r="526" spans="1:4" s="1" customFormat="1" ht="19.75" customHeight="1" x14ac:dyDescent="0.25">
      <c r="A526" s="8">
        <f>2020</f>
        <v>2020</v>
      </c>
      <c r="B526" s="3" t="s">
        <v>98</v>
      </c>
      <c r="C526" s="4">
        <v>11639.630800000001</v>
      </c>
      <c r="D526" s="5">
        <v>13802.246300000001</v>
      </c>
    </row>
    <row r="527" spans="1:4" s="1" customFormat="1" ht="19.75" customHeight="1" x14ac:dyDescent="0.25">
      <c r="A527" s="8">
        <f>2020</f>
        <v>2020</v>
      </c>
      <c r="B527" s="3" t="s">
        <v>53</v>
      </c>
      <c r="C527" s="6">
        <v>234.86330000000001</v>
      </c>
      <c r="D527" s="7">
        <v>271.04399999999998</v>
      </c>
    </row>
    <row r="528" spans="1:4" s="1" customFormat="1" ht="19.75" customHeight="1" x14ac:dyDescent="0.25">
      <c r="A528" s="8">
        <f>2020</f>
        <v>2020</v>
      </c>
      <c r="B528" s="3" t="s">
        <v>54</v>
      </c>
      <c r="C528" s="4">
        <v>39.791899999999998</v>
      </c>
      <c r="D528" s="5">
        <v>50.773099999999999</v>
      </c>
    </row>
    <row r="529" spans="1:4" s="1" customFormat="1" ht="19.75" customHeight="1" x14ac:dyDescent="0.25">
      <c r="A529" s="8">
        <f>2020</f>
        <v>2020</v>
      </c>
      <c r="B529" s="3" t="s">
        <v>55</v>
      </c>
      <c r="C529" s="6">
        <v>2658.8885</v>
      </c>
      <c r="D529" s="7">
        <v>3596.3085000000001</v>
      </c>
    </row>
    <row r="530" spans="1:4" s="1" customFormat="1" ht="19.75" customHeight="1" x14ac:dyDescent="0.25">
      <c r="A530" s="8">
        <f>2020</f>
        <v>2020</v>
      </c>
      <c r="B530" s="3" t="s">
        <v>56</v>
      </c>
      <c r="C530" s="4">
        <v>2.6103179999999999</v>
      </c>
      <c r="D530" s="5">
        <v>11.170391</v>
      </c>
    </row>
    <row r="531" spans="1:4" s="1" customFormat="1" ht="19.75" customHeight="1" x14ac:dyDescent="0.25">
      <c r="A531" s="8">
        <f>2020</f>
        <v>2020</v>
      </c>
      <c r="B531" s="3" t="s">
        <v>57</v>
      </c>
      <c r="C531" s="6">
        <v>104.12520000000001</v>
      </c>
      <c r="D531" s="7">
        <v>121.85890000000001</v>
      </c>
    </row>
    <row r="532" spans="1:4" s="1" customFormat="1" ht="19.75" customHeight="1" x14ac:dyDescent="0.25">
      <c r="A532" s="8">
        <f>2020</f>
        <v>2020</v>
      </c>
      <c r="B532" s="3" t="s">
        <v>58</v>
      </c>
      <c r="C532" s="4">
        <v>26.355699999999999</v>
      </c>
      <c r="D532" s="5">
        <v>26.599299999999999</v>
      </c>
    </row>
    <row r="533" spans="1:4" s="1" customFormat="1" ht="19.75" customHeight="1" x14ac:dyDescent="0.25">
      <c r="A533" s="8">
        <f>2020</f>
        <v>2020</v>
      </c>
      <c r="B533" s="3" t="s">
        <v>94</v>
      </c>
      <c r="C533" s="6">
        <v>29.6586</v>
      </c>
      <c r="D533" s="7">
        <v>30.758299999999998</v>
      </c>
    </row>
    <row r="534" spans="1:4" s="1" customFormat="1" ht="19.75" customHeight="1" x14ac:dyDescent="0.25">
      <c r="A534" s="8">
        <f>2020</f>
        <v>2020</v>
      </c>
      <c r="B534" s="3" t="s">
        <v>59</v>
      </c>
      <c r="C534" s="4">
        <v>54.615900000000003</v>
      </c>
      <c r="D534" s="5">
        <v>78.186400000000006</v>
      </c>
    </row>
    <row r="535" spans="1:4" s="1" customFormat="1" ht="19.75" customHeight="1" x14ac:dyDescent="0.25">
      <c r="A535" s="8">
        <f>2020</f>
        <v>2020</v>
      </c>
      <c r="B535" s="3" t="s">
        <v>60</v>
      </c>
      <c r="C535" s="6">
        <v>1197.4132999999999</v>
      </c>
      <c r="D535" s="7">
        <v>1519.4585999999999</v>
      </c>
    </row>
    <row r="536" spans="1:4" s="1" customFormat="1" ht="19.75" customHeight="1" x14ac:dyDescent="0.25">
      <c r="A536" s="8">
        <f>2020</f>
        <v>2020</v>
      </c>
      <c r="B536" s="3" t="s">
        <v>61</v>
      </c>
      <c r="C536" s="4">
        <v>1716.6291000000001</v>
      </c>
      <c r="D536" s="5">
        <v>2106.5246999999999</v>
      </c>
    </row>
    <row r="537" spans="1:4" s="1" customFormat="1" ht="19.75" customHeight="1" x14ac:dyDescent="0.25">
      <c r="A537" s="8">
        <f>2020</f>
        <v>2020</v>
      </c>
      <c r="B537" s="3" t="s">
        <v>64</v>
      </c>
      <c r="C537" s="6">
        <v>13.480869999999999</v>
      </c>
      <c r="D537" s="7">
        <v>19.533114000000001</v>
      </c>
    </row>
    <row r="538" spans="1:4" s="1" customFormat="1" ht="19.75" customHeight="1" x14ac:dyDescent="0.25">
      <c r="A538" s="8">
        <f>2020</f>
        <v>2020</v>
      </c>
      <c r="B538" s="3" t="s">
        <v>65</v>
      </c>
      <c r="C538" s="4">
        <v>44.539499999999997</v>
      </c>
      <c r="D538" s="5">
        <v>49.183300000000003</v>
      </c>
    </row>
    <row r="539" spans="1:4" s="1" customFormat="1" ht="19.75" customHeight="1" x14ac:dyDescent="0.25">
      <c r="A539" s="8">
        <f>2020</f>
        <v>2020</v>
      </c>
      <c r="B539" s="3" t="s">
        <v>66</v>
      </c>
      <c r="C539" s="6">
        <v>7.3983230000000004</v>
      </c>
      <c r="D539" s="7">
        <v>171.20219399999999</v>
      </c>
    </row>
    <row r="540" spans="1:4" s="1" customFormat="1" ht="19.75" customHeight="1" x14ac:dyDescent="0.25">
      <c r="A540" s="8">
        <f>2020</f>
        <v>2020</v>
      </c>
      <c r="B540" s="3" t="s">
        <v>67</v>
      </c>
      <c r="C540" s="4">
        <v>126.70440000000001</v>
      </c>
      <c r="D540" s="5">
        <v>195.03540000000001</v>
      </c>
    </row>
    <row r="541" spans="1:4" s="1" customFormat="1" ht="19.75" customHeight="1" x14ac:dyDescent="0.25">
      <c r="A541" s="8">
        <f>2020</f>
        <v>2020</v>
      </c>
      <c r="B541" s="3" t="s">
        <v>68</v>
      </c>
      <c r="C541" s="6">
        <v>669.76480000000004</v>
      </c>
      <c r="D541" s="7">
        <v>740.33399999999995</v>
      </c>
    </row>
    <row r="542" spans="1:4" s="1" customFormat="1" ht="19.75" customHeight="1" x14ac:dyDescent="0.25">
      <c r="A542" s="8">
        <f>2020</f>
        <v>2020</v>
      </c>
      <c r="B542" s="3" t="s">
        <v>69</v>
      </c>
      <c r="C542" s="4">
        <v>315.60149999999999</v>
      </c>
      <c r="D542" s="5">
        <v>395.13049999999998</v>
      </c>
    </row>
    <row r="543" spans="1:4" s="1" customFormat="1" ht="19.75" customHeight="1" x14ac:dyDescent="0.25">
      <c r="A543" s="8">
        <f>2020</f>
        <v>2020</v>
      </c>
      <c r="B543" s="3" t="s">
        <v>95</v>
      </c>
      <c r="C543" s="6">
        <v>3.3860000000000001</v>
      </c>
      <c r="D543" s="7">
        <v>12.3695</v>
      </c>
    </row>
    <row r="544" spans="1:4" s="1" customFormat="1" ht="19.75" customHeight="1" x14ac:dyDescent="0.25">
      <c r="A544" s="8">
        <f>2020</f>
        <v>2020</v>
      </c>
      <c r="B544" s="3" t="s">
        <v>71</v>
      </c>
      <c r="C544" s="4">
        <v>11405.632194</v>
      </c>
      <c r="D544" s="5">
        <v>14461.751604999999</v>
      </c>
    </row>
    <row r="545" spans="1:4" s="1" customFormat="1" ht="19.75" customHeight="1" x14ac:dyDescent="0.25">
      <c r="A545" s="8">
        <f>2020</f>
        <v>2020</v>
      </c>
      <c r="B545" s="3" t="s">
        <v>72</v>
      </c>
      <c r="C545" s="6">
        <v>1246.9488140000001</v>
      </c>
      <c r="D545" s="7">
        <v>1392.3387319999999</v>
      </c>
    </row>
    <row r="546" spans="1:4" s="1" customFormat="1" ht="19.75" customHeight="1" x14ac:dyDescent="0.25">
      <c r="A546" s="8">
        <f>2020</f>
        <v>2020</v>
      </c>
      <c r="B546" s="3" t="s">
        <v>99</v>
      </c>
      <c r="C546" s="4">
        <v>194.18510000000001</v>
      </c>
      <c r="D546" s="5">
        <v>195.34110000000001</v>
      </c>
    </row>
    <row r="547" spans="1:4" s="1" customFormat="1" ht="19.75" customHeight="1" x14ac:dyDescent="0.25">
      <c r="A547" s="8">
        <f>2020</f>
        <v>2020</v>
      </c>
      <c r="B547" s="3" t="s">
        <v>75</v>
      </c>
      <c r="C547" s="6">
        <v>82.795699999999997</v>
      </c>
      <c r="D547" s="7">
        <v>100.8591</v>
      </c>
    </row>
    <row r="548" spans="1:4" s="1" customFormat="1" ht="19.75" customHeight="1" x14ac:dyDescent="0.25">
      <c r="A548" s="8">
        <f>2020</f>
        <v>2020</v>
      </c>
      <c r="B548" s="3" t="s">
        <v>107</v>
      </c>
      <c r="C548" s="4">
        <v>66.322900000000004</v>
      </c>
      <c r="D548" s="5">
        <v>62.720999999999997</v>
      </c>
    </row>
    <row r="549" spans="1:4" s="1" customFormat="1" ht="19.75" customHeight="1" x14ac:dyDescent="0.25">
      <c r="A549" s="8">
        <f>2020</f>
        <v>2020</v>
      </c>
      <c r="B549" s="3" t="s">
        <v>76</v>
      </c>
      <c r="C549" s="6">
        <v>269.47300000000001</v>
      </c>
      <c r="D549" s="7">
        <v>300.517</v>
      </c>
    </row>
    <row r="550" spans="1:4" s="1" customFormat="1" ht="19.75" customHeight="1" x14ac:dyDescent="0.25">
      <c r="A550" s="8">
        <f>2020</f>
        <v>2020</v>
      </c>
      <c r="B550" s="3" t="s">
        <v>77</v>
      </c>
      <c r="C550" s="4">
        <v>4285.8842919999997</v>
      </c>
      <c r="D550" s="5">
        <v>4991.9762639999999</v>
      </c>
    </row>
    <row r="551" spans="1:4" s="1" customFormat="1" ht="19.75" customHeight="1" x14ac:dyDescent="0.25">
      <c r="A551" s="8">
        <f>2020</f>
        <v>2020</v>
      </c>
      <c r="B551" s="3" t="s">
        <v>78</v>
      </c>
      <c r="C551" s="6">
        <v>458.13479999999998</v>
      </c>
      <c r="D551" s="7">
        <v>501.08980000000003</v>
      </c>
    </row>
    <row r="552" spans="1:4" s="1" customFormat="1" ht="19.75" customHeight="1" x14ac:dyDescent="0.25">
      <c r="A552" s="8">
        <f>2020</f>
        <v>2020</v>
      </c>
      <c r="B552" s="3" t="s">
        <v>79</v>
      </c>
      <c r="C552" s="4">
        <v>2645.4439000000002</v>
      </c>
      <c r="D552" s="5">
        <v>2927.7955000000002</v>
      </c>
    </row>
    <row r="553" spans="1:4" s="1" customFormat="1" ht="19.75" customHeight="1" x14ac:dyDescent="0.25">
      <c r="A553" s="8">
        <f>2020</f>
        <v>2020</v>
      </c>
      <c r="B553" s="3" t="s">
        <v>80</v>
      </c>
      <c r="C553" s="6">
        <v>1413.2453</v>
      </c>
      <c r="D553" s="7">
        <v>1546.4349</v>
      </c>
    </row>
    <row r="554" spans="1:4" s="1" customFormat="1" ht="19.75" customHeight="1" x14ac:dyDescent="0.25">
      <c r="A554" s="8">
        <f>2020</f>
        <v>2020</v>
      </c>
      <c r="B554" s="3" t="s">
        <v>96</v>
      </c>
      <c r="C554" s="4">
        <v>1070.2636669999999</v>
      </c>
      <c r="D554" s="5">
        <v>1215.7257629999999</v>
      </c>
    </row>
    <row r="555" spans="1:4" s="1" customFormat="1" ht="19.75" customHeight="1" x14ac:dyDescent="0.25">
      <c r="A555" s="8">
        <f>2020</f>
        <v>2020</v>
      </c>
      <c r="B555" s="3" t="s">
        <v>81</v>
      </c>
      <c r="C555" s="6">
        <v>1991.5191769999999</v>
      </c>
      <c r="D555" s="7">
        <v>2424.765652</v>
      </c>
    </row>
    <row r="556" spans="1:4" s="1" customFormat="1" ht="19.75" customHeight="1" x14ac:dyDescent="0.25">
      <c r="A556" s="8">
        <f>2020</f>
        <v>2020</v>
      </c>
      <c r="B556" s="3" t="s">
        <v>82</v>
      </c>
      <c r="C556" s="4">
        <v>305.43779799999999</v>
      </c>
      <c r="D556" s="5">
        <v>325.10243700000001</v>
      </c>
    </row>
    <row r="557" spans="1:4" s="1" customFormat="1" ht="19.75" customHeight="1" x14ac:dyDescent="0.25">
      <c r="A557" s="8">
        <f>2020</f>
        <v>2020</v>
      </c>
      <c r="B557" s="3" t="s">
        <v>84</v>
      </c>
      <c r="C557" s="6">
        <v>766.68399999999997</v>
      </c>
      <c r="D557" s="7">
        <v>854.1377</v>
      </c>
    </row>
    <row r="558" spans="1:4" s="1" customFormat="1" ht="19.75" customHeight="1" x14ac:dyDescent="0.25">
      <c r="A558" s="8">
        <f>2020</f>
        <v>2020</v>
      </c>
      <c r="B558" s="3" t="s">
        <v>85</v>
      </c>
      <c r="C558" s="4">
        <v>2703.5986800000001</v>
      </c>
      <c r="D558" s="5">
        <v>3025.8136140000001</v>
      </c>
    </row>
    <row r="559" spans="1:4" s="1" customFormat="1" ht="19.75" customHeight="1" x14ac:dyDescent="0.25">
      <c r="A559" s="8">
        <f>2020</f>
        <v>2020</v>
      </c>
      <c r="B559" s="3" t="s">
        <v>87</v>
      </c>
      <c r="C559" s="6">
        <v>1307.6867</v>
      </c>
      <c r="D559" s="7">
        <v>1406.242</v>
      </c>
    </row>
    <row r="560" spans="1:4" s="1" customFormat="1" ht="19.75" customHeight="1" x14ac:dyDescent="0.25">
      <c r="A560" s="8">
        <f>2020</f>
        <v>2020</v>
      </c>
      <c r="B560" s="3" t="s">
        <v>90</v>
      </c>
      <c r="C560" s="4">
        <v>45.756793999999999</v>
      </c>
      <c r="D560" s="5">
        <v>54.762354000000002</v>
      </c>
    </row>
    <row r="561" spans="1:4" s="1" customFormat="1" ht="19.75" customHeight="1" x14ac:dyDescent="0.25">
      <c r="A561" s="8">
        <f>2019</f>
        <v>2019</v>
      </c>
      <c r="B561" s="3" t="s">
        <v>100</v>
      </c>
      <c r="C561" s="6">
        <v>16864.293699999998</v>
      </c>
      <c r="D561" s="7">
        <v>18564.498</v>
      </c>
    </row>
    <row r="562" spans="1:4" s="1" customFormat="1" ht="19.75" customHeight="1" x14ac:dyDescent="0.25">
      <c r="A562" s="8">
        <f>2019</f>
        <v>2019</v>
      </c>
      <c r="B562" s="3" t="s">
        <v>101</v>
      </c>
      <c r="C562" s="4">
        <v>18932.220499999999</v>
      </c>
      <c r="D562" s="5">
        <v>20977.2608</v>
      </c>
    </row>
    <row r="563" spans="1:4" s="1" customFormat="1" ht="19.75" customHeight="1" x14ac:dyDescent="0.25">
      <c r="A563" s="8">
        <f>2019</f>
        <v>2019</v>
      </c>
      <c r="B563" s="3" t="s">
        <v>0</v>
      </c>
      <c r="C563" s="6">
        <v>49770.606</v>
      </c>
      <c r="D563" s="7">
        <v>56065.1008</v>
      </c>
    </row>
    <row r="564" spans="1:4" s="1" customFormat="1" ht="19.75" customHeight="1" x14ac:dyDescent="0.25">
      <c r="A564" s="8">
        <f>2019</f>
        <v>2019</v>
      </c>
      <c r="B564" s="3" t="s">
        <v>1</v>
      </c>
      <c r="C564" s="4">
        <v>40767.811300000001</v>
      </c>
      <c r="D564" s="5">
        <v>45426.6996</v>
      </c>
    </row>
    <row r="565" spans="1:4" s="1" customFormat="1" ht="19.75" customHeight="1" x14ac:dyDescent="0.25">
      <c r="A565" s="8">
        <f>2019</f>
        <v>2019</v>
      </c>
      <c r="B565" s="3" t="s">
        <v>2</v>
      </c>
      <c r="C565" s="6">
        <v>10849.6026</v>
      </c>
      <c r="D565" s="7">
        <v>12397.0569</v>
      </c>
    </row>
    <row r="566" spans="1:4" s="1" customFormat="1" ht="19.75" customHeight="1" x14ac:dyDescent="0.25">
      <c r="A566" s="8">
        <f>2019</f>
        <v>2019</v>
      </c>
      <c r="B566" s="3" t="s">
        <v>3</v>
      </c>
      <c r="C566" s="4">
        <v>46810.341800000002</v>
      </c>
      <c r="D566" s="5">
        <v>53385.298300000002</v>
      </c>
    </row>
    <row r="567" spans="1:4" s="1" customFormat="1" ht="19.75" customHeight="1" x14ac:dyDescent="0.25">
      <c r="A567" s="8">
        <f>2019</f>
        <v>2019</v>
      </c>
      <c r="B567" s="3" t="s">
        <v>4</v>
      </c>
      <c r="C567" s="6">
        <v>22638.5707</v>
      </c>
      <c r="D567" s="7">
        <v>25051.5075</v>
      </c>
    </row>
    <row r="568" spans="1:4" s="1" customFormat="1" ht="19.75" customHeight="1" x14ac:dyDescent="0.25">
      <c r="A568" s="8">
        <f>2019</f>
        <v>2019</v>
      </c>
      <c r="B568" s="3" t="s">
        <v>102</v>
      </c>
      <c r="C568" s="4">
        <v>15622.630300000001</v>
      </c>
      <c r="D568" s="5">
        <v>17494.699000000001</v>
      </c>
    </row>
    <row r="569" spans="1:4" s="1" customFormat="1" ht="19.75" customHeight="1" x14ac:dyDescent="0.25">
      <c r="A569" s="8">
        <f>2019</f>
        <v>2019</v>
      </c>
      <c r="B569" s="3" t="s">
        <v>108</v>
      </c>
      <c r="C569" s="6">
        <v>8239.5460999999996</v>
      </c>
      <c r="D569" s="7">
        <v>9211.7733000000007</v>
      </c>
    </row>
    <row r="570" spans="1:4" s="1" customFormat="1" ht="19.75" customHeight="1" x14ac:dyDescent="0.25">
      <c r="A570" s="8">
        <f>2019</f>
        <v>2019</v>
      </c>
      <c r="B570" s="3" t="s">
        <v>5</v>
      </c>
      <c r="C570" s="4">
        <v>19184.8128</v>
      </c>
      <c r="D570" s="5">
        <v>21067.702399999998</v>
      </c>
    </row>
    <row r="571" spans="1:4" s="1" customFormat="1" ht="19.75" customHeight="1" x14ac:dyDescent="0.25">
      <c r="A571" s="8">
        <f>2019</f>
        <v>2019</v>
      </c>
      <c r="B571" s="3" t="s">
        <v>6</v>
      </c>
      <c r="C571" s="6">
        <v>17631.261200000001</v>
      </c>
      <c r="D571" s="7">
        <v>21837.5821</v>
      </c>
    </row>
    <row r="572" spans="1:4" s="1" customFormat="1" ht="19.75" customHeight="1" x14ac:dyDescent="0.25">
      <c r="A572" s="8">
        <f>2019</f>
        <v>2019</v>
      </c>
      <c r="B572" s="3" t="s">
        <v>103</v>
      </c>
      <c r="C572" s="4">
        <v>17867.687900000001</v>
      </c>
      <c r="D572" s="5">
        <v>20536.772099999998</v>
      </c>
    </row>
    <row r="573" spans="1:4" s="1" customFormat="1" ht="19.75" customHeight="1" x14ac:dyDescent="0.25">
      <c r="A573" s="8">
        <f>2019</f>
        <v>2019</v>
      </c>
      <c r="B573" s="3" t="s">
        <v>7</v>
      </c>
      <c r="C573" s="6">
        <v>8558.6702999999998</v>
      </c>
      <c r="D573" s="7">
        <v>9386.9487000000008</v>
      </c>
    </row>
    <row r="574" spans="1:4" s="1" customFormat="1" ht="19.75" customHeight="1" x14ac:dyDescent="0.25">
      <c r="A574" s="8">
        <f>2019</f>
        <v>2019</v>
      </c>
      <c r="B574" s="3" t="s">
        <v>8</v>
      </c>
      <c r="C574" s="4">
        <v>51310.248299999999</v>
      </c>
      <c r="D574" s="5">
        <v>58687.660600000003</v>
      </c>
    </row>
    <row r="575" spans="1:4" s="1" customFormat="1" ht="19.75" customHeight="1" x14ac:dyDescent="0.25">
      <c r="A575" s="8">
        <f>2019</f>
        <v>2019</v>
      </c>
      <c r="B575" s="3" t="s">
        <v>9</v>
      </c>
      <c r="C575" s="6">
        <v>242868.65349999999</v>
      </c>
      <c r="D575" s="7">
        <v>279643.54129999998</v>
      </c>
    </row>
    <row r="576" spans="1:4" s="1" customFormat="1" ht="19.75" customHeight="1" x14ac:dyDescent="0.25">
      <c r="A576" s="8">
        <f>2019</f>
        <v>2019</v>
      </c>
      <c r="B576" s="3" t="s">
        <v>104</v>
      </c>
      <c r="C576" s="4">
        <v>21725.408500000001</v>
      </c>
      <c r="D576" s="5">
        <v>23949.2209</v>
      </c>
    </row>
    <row r="577" spans="1:4" s="1" customFormat="1" ht="19.75" customHeight="1" x14ac:dyDescent="0.25">
      <c r="A577" s="8">
        <f>2019</f>
        <v>2019</v>
      </c>
      <c r="B577" s="3" t="s">
        <v>10</v>
      </c>
      <c r="C577" s="6">
        <v>14330.632299999999</v>
      </c>
      <c r="D577" s="7">
        <v>15844.1469</v>
      </c>
    </row>
    <row r="578" spans="1:4" s="1" customFormat="1" ht="19.75" customHeight="1" x14ac:dyDescent="0.25">
      <c r="A578" s="8">
        <f>2019</f>
        <v>2019</v>
      </c>
      <c r="B578" s="3" t="s">
        <v>11</v>
      </c>
      <c r="C578" s="4">
        <v>34066.658900000002</v>
      </c>
      <c r="D578" s="5">
        <v>38540.605600000003</v>
      </c>
    </row>
    <row r="579" spans="1:4" s="1" customFormat="1" ht="19.75" customHeight="1" x14ac:dyDescent="0.25">
      <c r="A579" s="8">
        <f>2019</f>
        <v>2019</v>
      </c>
      <c r="B579" s="3" t="s">
        <v>105</v>
      </c>
      <c r="C579" s="6">
        <v>8559.8763999999992</v>
      </c>
      <c r="D579" s="7">
        <v>10944.4604</v>
      </c>
    </row>
    <row r="580" spans="1:4" s="1" customFormat="1" ht="19.75" customHeight="1" x14ac:dyDescent="0.25">
      <c r="A580" s="8">
        <f>2019</f>
        <v>2019</v>
      </c>
      <c r="B580" s="3" t="s">
        <v>109</v>
      </c>
      <c r="C580" s="4">
        <v>14975.934600000001</v>
      </c>
      <c r="D580" s="5">
        <v>16318.171</v>
      </c>
    </row>
    <row r="581" spans="1:4" s="1" customFormat="1" ht="19.75" customHeight="1" x14ac:dyDescent="0.25">
      <c r="A581" s="8">
        <f>2019</f>
        <v>2019</v>
      </c>
      <c r="B581" s="3" t="s">
        <v>12</v>
      </c>
      <c r="C581" s="6">
        <v>54985.770700000001</v>
      </c>
      <c r="D581" s="7">
        <v>68116.110100000005</v>
      </c>
    </row>
    <row r="582" spans="1:4" s="1" customFormat="1" ht="19.75" customHeight="1" x14ac:dyDescent="0.25">
      <c r="A582" s="8">
        <f>2019</f>
        <v>2019</v>
      </c>
      <c r="B582" s="3" t="s">
        <v>13</v>
      </c>
      <c r="C582" s="4">
        <v>6643.3693999999996</v>
      </c>
      <c r="D582" s="5">
        <v>7706.4171999999999</v>
      </c>
    </row>
    <row r="583" spans="1:4" s="1" customFormat="1" ht="19.75" customHeight="1" x14ac:dyDescent="0.25">
      <c r="A583" s="8">
        <f>2019</f>
        <v>2019</v>
      </c>
      <c r="B583" s="3" t="s">
        <v>14</v>
      </c>
      <c r="C583" s="6">
        <v>3767.1666</v>
      </c>
      <c r="D583" s="7">
        <v>4281.5553</v>
      </c>
    </row>
    <row r="584" spans="1:4" s="1" customFormat="1" ht="19.75" customHeight="1" x14ac:dyDescent="0.25">
      <c r="A584" s="8">
        <f>2019</f>
        <v>2019</v>
      </c>
      <c r="B584" s="3" t="s">
        <v>15</v>
      </c>
      <c r="C584" s="4">
        <v>1347.5154</v>
      </c>
      <c r="D584" s="5">
        <v>1483.4331</v>
      </c>
    </row>
    <row r="585" spans="1:4" s="1" customFormat="1" ht="19.75" customHeight="1" x14ac:dyDescent="0.25">
      <c r="A585" s="8">
        <f>2019</f>
        <v>2019</v>
      </c>
      <c r="B585" s="3" t="s">
        <v>16</v>
      </c>
      <c r="C585" s="6">
        <v>3041.4879999999998</v>
      </c>
      <c r="D585" s="7">
        <v>3391.6469000000002</v>
      </c>
    </row>
    <row r="586" spans="1:4" s="1" customFormat="1" ht="19.75" customHeight="1" x14ac:dyDescent="0.25">
      <c r="A586" s="8">
        <f>2019</f>
        <v>2019</v>
      </c>
      <c r="B586" s="3" t="s">
        <v>17</v>
      </c>
      <c r="C586" s="4">
        <v>971.48850000000004</v>
      </c>
      <c r="D586" s="5">
        <v>1024.2215000000001</v>
      </c>
    </row>
    <row r="587" spans="1:4" s="1" customFormat="1" ht="19.75" customHeight="1" x14ac:dyDescent="0.25">
      <c r="A587" s="8">
        <f>2019</f>
        <v>2019</v>
      </c>
      <c r="B587" s="3" t="s">
        <v>18</v>
      </c>
      <c r="C587" s="6">
        <v>11419.0245</v>
      </c>
      <c r="D587" s="7">
        <v>12770.048500000001</v>
      </c>
    </row>
    <row r="588" spans="1:4" s="1" customFormat="1" ht="19.75" customHeight="1" x14ac:dyDescent="0.25">
      <c r="A588" s="8">
        <f>2019</f>
        <v>2019</v>
      </c>
      <c r="B588" s="3" t="s">
        <v>19</v>
      </c>
      <c r="C588" s="4">
        <v>98972.050499999998</v>
      </c>
      <c r="D588" s="5">
        <v>116597.9354</v>
      </c>
    </row>
    <row r="589" spans="1:4" s="1" customFormat="1" ht="19.75" customHeight="1" x14ac:dyDescent="0.25">
      <c r="A589" s="8">
        <f>2019</f>
        <v>2019</v>
      </c>
      <c r="B589" s="3" t="s">
        <v>20</v>
      </c>
      <c r="C589" s="6">
        <v>63401.192600000002</v>
      </c>
      <c r="D589" s="7">
        <v>77913.356199999995</v>
      </c>
    </row>
    <row r="590" spans="1:4" s="1" customFormat="1" ht="19.75" customHeight="1" x14ac:dyDescent="0.25">
      <c r="A590" s="8">
        <f>2019</f>
        <v>2019</v>
      </c>
      <c r="B590" s="3" t="s">
        <v>21</v>
      </c>
      <c r="C590" s="4">
        <v>22071.2369</v>
      </c>
      <c r="D590" s="5">
        <v>25371.534100000001</v>
      </c>
    </row>
    <row r="591" spans="1:4" s="1" customFormat="1" ht="19.75" customHeight="1" x14ac:dyDescent="0.25">
      <c r="A591" s="8">
        <f>2019</f>
        <v>2019</v>
      </c>
      <c r="B591" s="3" t="s">
        <v>22</v>
      </c>
      <c r="C591" s="6">
        <v>11948.172399999999</v>
      </c>
      <c r="D591" s="7">
        <v>12800.256299999999</v>
      </c>
    </row>
    <row r="592" spans="1:4" s="1" customFormat="1" ht="19.75" customHeight="1" x14ac:dyDescent="0.25">
      <c r="A592" s="8">
        <f>2019</f>
        <v>2019</v>
      </c>
      <c r="B592" s="3" t="s">
        <v>23</v>
      </c>
      <c r="C592" s="4">
        <v>22261.1505</v>
      </c>
      <c r="D592" s="5">
        <v>27907.8694</v>
      </c>
    </row>
    <row r="593" spans="1:4" s="1" customFormat="1" ht="19.75" customHeight="1" x14ac:dyDescent="0.25">
      <c r="A593" s="8">
        <f>2019</f>
        <v>2019</v>
      </c>
      <c r="B593" s="3" t="s">
        <v>24</v>
      </c>
      <c r="C593" s="6">
        <v>7675.5604999999996</v>
      </c>
      <c r="D593" s="7">
        <v>8488.1869999999999</v>
      </c>
    </row>
    <row r="594" spans="1:4" s="1" customFormat="1" ht="19.75" customHeight="1" x14ac:dyDescent="0.25">
      <c r="A594" s="8">
        <f>2019</f>
        <v>2019</v>
      </c>
      <c r="B594" s="3" t="s">
        <v>25</v>
      </c>
      <c r="C594" s="4">
        <v>5905.9621999999999</v>
      </c>
      <c r="D594" s="5">
        <v>6907.9179000000004</v>
      </c>
    </row>
    <row r="595" spans="1:4" s="1" customFormat="1" ht="19.75" customHeight="1" x14ac:dyDescent="0.25">
      <c r="A595" s="8">
        <f>2019</f>
        <v>2019</v>
      </c>
      <c r="B595" s="3" t="s">
        <v>26</v>
      </c>
      <c r="C595" s="6">
        <v>5815.8200999999999</v>
      </c>
      <c r="D595" s="7">
        <v>6778.5919000000004</v>
      </c>
    </row>
    <row r="596" spans="1:4" s="1" customFormat="1" ht="19.75" customHeight="1" x14ac:dyDescent="0.25">
      <c r="A596" s="8">
        <f>2019</f>
        <v>2019</v>
      </c>
      <c r="B596" s="3" t="s">
        <v>27</v>
      </c>
      <c r="C596" s="4">
        <v>23890.0533</v>
      </c>
      <c r="D596" s="5">
        <v>28547.2346</v>
      </c>
    </row>
    <row r="597" spans="1:4" s="1" customFormat="1" ht="19.75" customHeight="1" x14ac:dyDescent="0.25">
      <c r="A597" s="8">
        <f>2019</f>
        <v>2019</v>
      </c>
      <c r="B597" s="3" t="s">
        <v>106</v>
      </c>
      <c r="C597" s="6">
        <v>2839.8939</v>
      </c>
      <c r="D597" s="7">
        <v>3090.2118</v>
      </c>
    </row>
    <row r="598" spans="1:4" s="1" customFormat="1" ht="19.75" customHeight="1" x14ac:dyDescent="0.25">
      <c r="A598" s="8">
        <f>2019</f>
        <v>2019</v>
      </c>
      <c r="B598" s="3" t="s">
        <v>28</v>
      </c>
      <c r="C598" s="4">
        <v>653.20579999999995</v>
      </c>
      <c r="D598" s="5">
        <v>682.30070000000001</v>
      </c>
    </row>
    <row r="599" spans="1:4" s="1" customFormat="1" ht="19.75" customHeight="1" x14ac:dyDescent="0.25">
      <c r="A599" s="8">
        <f>2019</f>
        <v>2019</v>
      </c>
      <c r="B599" s="3" t="s">
        <v>29</v>
      </c>
      <c r="C599" s="6">
        <v>6300.7093000000004</v>
      </c>
      <c r="D599" s="7">
        <v>7743.0754999999999</v>
      </c>
    </row>
    <row r="600" spans="1:4" s="1" customFormat="1" ht="19.75" customHeight="1" x14ac:dyDescent="0.25">
      <c r="A600" s="8">
        <f>2019</f>
        <v>2019</v>
      </c>
      <c r="B600" s="3" t="s">
        <v>30</v>
      </c>
      <c r="C600" s="4">
        <v>6876.5236999999997</v>
      </c>
      <c r="D600" s="5">
        <v>7602.7367000000004</v>
      </c>
    </row>
    <row r="601" spans="1:4" s="1" customFormat="1" ht="19.75" customHeight="1" x14ac:dyDescent="0.25">
      <c r="A601" s="8">
        <f>2019</f>
        <v>2019</v>
      </c>
      <c r="B601" s="3" t="s">
        <v>31</v>
      </c>
      <c r="C601" s="6">
        <v>3224.4566</v>
      </c>
      <c r="D601" s="7">
        <v>3638.7977000000001</v>
      </c>
    </row>
    <row r="602" spans="1:4" s="1" customFormat="1" ht="19.75" customHeight="1" x14ac:dyDescent="0.25">
      <c r="A602" s="8">
        <f>2019</f>
        <v>2019</v>
      </c>
      <c r="B602" s="3" t="s">
        <v>32</v>
      </c>
      <c r="C602" s="4">
        <v>29624.747299999999</v>
      </c>
      <c r="D602" s="5">
        <v>34214.899899999997</v>
      </c>
    </row>
    <row r="603" spans="1:4" s="1" customFormat="1" ht="19.75" customHeight="1" x14ac:dyDescent="0.25">
      <c r="A603" s="8">
        <f>2019</f>
        <v>2019</v>
      </c>
      <c r="B603" s="3" t="s">
        <v>92</v>
      </c>
      <c r="C603" s="6">
        <v>7.7900999999999998</v>
      </c>
      <c r="D603" s="7">
        <v>35.835500000000003</v>
      </c>
    </row>
    <row r="604" spans="1:4" s="1" customFormat="1" ht="19.75" customHeight="1" x14ac:dyDescent="0.25">
      <c r="A604" s="8">
        <f>2019</f>
        <v>2019</v>
      </c>
      <c r="B604" s="3" t="s">
        <v>97</v>
      </c>
      <c r="C604" s="4">
        <v>192.24639999999999</v>
      </c>
      <c r="D604" s="5">
        <v>197.95050000000001</v>
      </c>
    </row>
    <row r="605" spans="1:4" s="1" customFormat="1" ht="19.75" customHeight="1" x14ac:dyDescent="0.25">
      <c r="A605" s="8">
        <f>2019</f>
        <v>2019</v>
      </c>
      <c r="B605" s="3" t="s">
        <v>34</v>
      </c>
      <c r="C605" s="6">
        <v>518.73080000000004</v>
      </c>
      <c r="D605" s="7">
        <v>1940.4021</v>
      </c>
    </row>
    <row r="606" spans="1:4" s="1" customFormat="1" ht="30.4" customHeight="1" x14ac:dyDescent="0.25">
      <c r="A606" s="8">
        <f>2019</f>
        <v>2019</v>
      </c>
      <c r="B606" s="3" t="s">
        <v>35</v>
      </c>
      <c r="C606" s="4">
        <v>362.15890000000002</v>
      </c>
      <c r="D606" s="5">
        <v>457.13069999999999</v>
      </c>
    </row>
    <row r="607" spans="1:4" s="1" customFormat="1" ht="19.75" customHeight="1" x14ac:dyDescent="0.25">
      <c r="A607" s="8">
        <f>2019</f>
        <v>2019</v>
      </c>
      <c r="B607" s="3" t="s">
        <v>36</v>
      </c>
      <c r="C607" s="6">
        <v>2320.06</v>
      </c>
      <c r="D607" s="7">
        <v>3224.6927999999998</v>
      </c>
    </row>
    <row r="608" spans="1:4" s="1" customFormat="1" ht="19.75" customHeight="1" x14ac:dyDescent="0.25">
      <c r="A608" s="8">
        <f>2019</f>
        <v>2019</v>
      </c>
      <c r="B608" s="3" t="s">
        <v>37</v>
      </c>
      <c r="C608" s="4">
        <v>176.5378</v>
      </c>
      <c r="D608" s="5">
        <v>186.18100000000001</v>
      </c>
    </row>
    <row r="609" spans="1:4" s="1" customFormat="1" ht="19.75" customHeight="1" x14ac:dyDescent="0.25">
      <c r="A609" s="8">
        <f>2019</f>
        <v>2019</v>
      </c>
      <c r="B609" s="3" t="s">
        <v>38</v>
      </c>
      <c r="C609" s="6">
        <v>41.694462999999999</v>
      </c>
      <c r="D609" s="7">
        <v>49.026846999999997</v>
      </c>
    </row>
    <row r="610" spans="1:4" s="1" customFormat="1" ht="19.75" customHeight="1" x14ac:dyDescent="0.25">
      <c r="A610" s="8">
        <f>2019</f>
        <v>2019</v>
      </c>
      <c r="B610" s="3" t="s">
        <v>40</v>
      </c>
      <c r="C610" s="4">
        <v>387.51870000000002</v>
      </c>
      <c r="D610" s="5">
        <v>425.87259999999998</v>
      </c>
    </row>
    <row r="611" spans="1:4" s="1" customFormat="1" ht="19.75" customHeight="1" x14ac:dyDescent="0.25">
      <c r="A611" s="8">
        <f>2019</f>
        <v>2019</v>
      </c>
      <c r="B611" s="3" t="s">
        <v>41</v>
      </c>
      <c r="C611" s="6">
        <v>1546.7029</v>
      </c>
      <c r="D611" s="7">
        <v>1780.2037</v>
      </c>
    </row>
    <row r="612" spans="1:4" s="1" customFormat="1" ht="19.75" customHeight="1" x14ac:dyDescent="0.25">
      <c r="A612" s="8">
        <f>2019</f>
        <v>2019</v>
      </c>
      <c r="B612" s="3" t="s">
        <v>42</v>
      </c>
      <c r="C612" s="4">
        <v>2293.8793000000001</v>
      </c>
      <c r="D612" s="5">
        <v>2538.1484999999998</v>
      </c>
    </row>
    <row r="613" spans="1:4" s="1" customFormat="1" ht="19.75" customHeight="1" x14ac:dyDescent="0.25">
      <c r="A613" s="8">
        <f>2019</f>
        <v>2019</v>
      </c>
      <c r="B613" s="3" t="s">
        <v>43</v>
      </c>
      <c r="C613" s="6">
        <v>11410.01</v>
      </c>
      <c r="D613" s="7">
        <v>15237.84</v>
      </c>
    </row>
    <row r="614" spans="1:4" s="1" customFormat="1" ht="19.75" customHeight="1" x14ac:dyDescent="0.25">
      <c r="A614" s="8">
        <f>2019</f>
        <v>2019</v>
      </c>
      <c r="B614" s="3" t="s">
        <v>44</v>
      </c>
      <c r="C614" s="4">
        <v>383.37830000000002</v>
      </c>
      <c r="D614" s="5">
        <v>419.89179999999999</v>
      </c>
    </row>
    <row r="615" spans="1:4" s="1" customFormat="1" ht="19.75" customHeight="1" x14ac:dyDescent="0.25">
      <c r="A615" s="8">
        <f>2019</f>
        <v>2019</v>
      </c>
      <c r="B615" s="3" t="s">
        <v>45</v>
      </c>
      <c r="C615" s="6">
        <v>527.77020000000005</v>
      </c>
      <c r="D615" s="7">
        <v>535.92070000000001</v>
      </c>
    </row>
    <row r="616" spans="1:4" s="1" customFormat="1" ht="19.75" customHeight="1" x14ac:dyDescent="0.25">
      <c r="A616" s="8">
        <f>2019</f>
        <v>2019</v>
      </c>
      <c r="B616" s="3" t="s">
        <v>93</v>
      </c>
      <c r="C616" s="4">
        <v>488.77719999999999</v>
      </c>
      <c r="D616" s="5">
        <v>463.97500000000002</v>
      </c>
    </row>
    <row r="617" spans="1:4" s="1" customFormat="1" ht="19.75" customHeight="1" x14ac:dyDescent="0.25">
      <c r="A617" s="8">
        <f>2019</f>
        <v>2019</v>
      </c>
      <c r="B617" s="3" t="s">
        <v>46</v>
      </c>
      <c r="C617" s="6">
        <v>79.726200000000006</v>
      </c>
      <c r="D617" s="7">
        <v>92.047799999999995</v>
      </c>
    </row>
    <row r="618" spans="1:4" s="1" customFormat="1" ht="19.75" customHeight="1" x14ac:dyDescent="0.25">
      <c r="A618" s="8">
        <f>2019</f>
        <v>2019</v>
      </c>
      <c r="B618" s="3" t="s">
        <v>47</v>
      </c>
      <c r="C618" s="4">
        <v>281.54640000000001</v>
      </c>
      <c r="D618" s="5">
        <v>371.11380000000003</v>
      </c>
    </row>
    <row r="619" spans="1:4" s="1" customFormat="1" ht="19.75" customHeight="1" x14ac:dyDescent="0.25">
      <c r="A619" s="8">
        <f>2019</f>
        <v>2019</v>
      </c>
      <c r="B619" s="3" t="s">
        <v>48</v>
      </c>
      <c r="C619" s="6">
        <v>5676.2129000000004</v>
      </c>
      <c r="D619" s="7">
        <v>6890.9983000000002</v>
      </c>
    </row>
    <row r="620" spans="1:4" s="1" customFormat="1" ht="19.75" customHeight="1" x14ac:dyDescent="0.25">
      <c r="A620" s="8">
        <f>2019</f>
        <v>2019</v>
      </c>
      <c r="B620" s="3" t="s">
        <v>49</v>
      </c>
      <c r="C620" s="4">
        <v>80.920299999999997</v>
      </c>
      <c r="D620" s="5">
        <v>114.7676</v>
      </c>
    </row>
    <row r="621" spans="1:4" s="1" customFormat="1" ht="19.75" customHeight="1" x14ac:dyDescent="0.25">
      <c r="A621" s="8">
        <f>2019</f>
        <v>2019</v>
      </c>
      <c r="B621" s="3" t="s">
        <v>50</v>
      </c>
      <c r="C621" s="6">
        <v>93.425399999999996</v>
      </c>
      <c r="D621" s="7">
        <v>101.1551</v>
      </c>
    </row>
    <row r="622" spans="1:4" s="1" customFormat="1" ht="19.75" customHeight="1" x14ac:dyDescent="0.25">
      <c r="A622" s="8">
        <f>2019</f>
        <v>2019</v>
      </c>
      <c r="B622" s="3" t="s">
        <v>51</v>
      </c>
      <c r="C622" s="4">
        <v>116.68810000000001</v>
      </c>
      <c r="D622" s="5">
        <v>185.59880000000001</v>
      </c>
    </row>
    <row r="623" spans="1:4" s="1" customFormat="1" ht="19.75" customHeight="1" x14ac:dyDescent="0.25">
      <c r="A623" s="8">
        <f>2019</f>
        <v>2019</v>
      </c>
      <c r="B623" s="3" t="s">
        <v>52</v>
      </c>
      <c r="C623" s="6">
        <v>105.7452</v>
      </c>
      <c r="D623" s="7">
        <v>132.96199999999999</v>
      </c>
    </row>
    <row r="624" spans="1:4" s="1" customFormat="1" ht="19.75" customHeight="1" x14ac:dyDescent="0.25">
      <c r="A624" s="8">
        <f>2019</f>
        <v>2019</v>
      </c>
      <c r="B624" s="3" t="s">
        <v>98</v>
      </c>
      <c r="C624" s="4">
        <v>9974.5787</v>
      </c>
      <c r="D624" s="5">
        <v>12038.4995</v>
      </c>
    </row>
    <row r="625" spans="1:4" s="1" customFormat="1" ht="19.75" customHeight="1" x14ac:dyDescent="0.25">
      <c r="A625" s="8">
        <f>2019</f>
        <v>2019</v>
      </c>
      <c r="B625" s="3" t="s">
        <v>53</v>
      </c>
      <c r="C625" s="6">
        <v>238.4298</v>
      </c>
      <c r="D625" s="7">
        <v>266.41160000000002</v>
      </c>
    </row>
    <row r="626" spans="1:4" s="1" customFormat="1" ht="19.75" customHeight="1" x14ac:dyDescent="0.25">
      <c r="A626" s="8">
        <f>2019</f>
        <v>2019</v>
      </c>
      <c r="B626" s="3" t="s">
        <v>54</v>
      </c>
      <c r="C626" s="4">
        <v>29.099799999999998</v>
      </c>
      <c r="D626" s="5">
        <v>37.525599999999997</v>
      </c>
    </row>
    <row r="627" spans="1:4" s="1" customFormat="1" ht="19.75" customHeight="1" x14ac:dyDescent="0.25">
      <c r="A627" s="8">
        <f>2019</f>
        <v>2019</v>
      </c>
      <c r="B627" s="3" t="s">
        <v>55</v>
      </c>
      <c r="C627" s="6">
        <v>2370.0925000000002</v>
      </c>
      <c r="D627" s="7">
        <v>3500.4063999999998</v>
      </c>
    </row>
    <row r="628" spans="1:4" s="1" customFormat="1" ht="19.75" customHeight="1" x14ac:dyDescent="0.25">
      <c r="A628" s="8">
        <f>2019</f>
        <v>2019</v>
      </c>
      <c r="B628" s="3" t="s">
        <v>56</v>
      </c>
      <c r="C628" s="4">
        <v>1.29E-2</v>
      </c>
      <c r="D628" s="5">
        <v>4.8399999999999999E-2</v>
      </c>
    </row>
    <row r="629" spans="1:4" s="1" customFormat="1" ht="19.75" customHeight="1" x14ac:dyDescent="0.25">
      <c r="A629" s="8">
        <f>2019</f>
        <v>2019</v>
      </c>
      <c r="B629" s="3" t="s">
        <v>57</v>
      </c>
      <c r="C629" s="6">
        <v>80.617800000000003</v>
      </c>
      <c r="D629" s="7">
        <v>96.796400000000006</v>
      </c>
    </row>
    <row r="630" spans="1:4" s="1" customFormat="1" ht="19.75" customHeight="1" x14ac:dyDescent="0.25">
      <c r="A630" s="8">
        <f>2019</f>
        <v>2019</v>
      </c>
      <c r="B630" s="3" t="s">
        <v>94</v>
      </c>
      <c r="C630" s="4">
        <v>32.706200000000003</v>
      </c>
      <c r="D630" s="5">
        <v>33.3842</v>
      </c>
    </row>
    <row r="631" spans="1:4" s="1" customFormat="1" ht="19.75" customHeight="1" x14ac:dyDescent="0.25">
      <c r="A631" s="8">
        <f>2019</f>
        <v>2019</v>
      </c>
      <c r="B631" s="3" t="s">
        <v>59</v>
      </c>
      <c r="C631" s="6">
        <v>28.236999999999998</v>
      </c>
      <c r="D631" s="7">
        <v>63.695599999999999</v>
      </c>
    </row>
    <row r="632" spans="1:4" s="1" customFormat="1" ht="19.75" customHeight="1" x14ac:dyDescent="0.25">
      <c r="A632" s="8">
        <f>2019</f>
        <v>2019</v>
      </c>
      <c r="B632" s="3" t="s">
        <v>60</v>
      </c>
      <c r="C632" s="4">
        <v>967.46529999999996</v>
      </c>
      <c r="D632" s="5">
        <v>1101.3991000000001</v>
      </c>
    </row>
    <row r="633" spans="1:4" s="1" customFormat="1" ht="19.75" customHeight="1" x14ac:dyDescent="0.25">
      <c r="A633" s="8">
        <f>2019</f>
        <v>2019</v>
      </c>
      <c r="B633" s="3" t="s">
        <v>61</v>
      </c>
      <c r="C633" s="6">
        <v>1503.7114999999999</v>
      </c>
      <c r="D633" s="7">
        <v>1892.0601999999999</v>
      </c>
    </row>
    <row r="634" spans="1:4" s="1" customFormat="1" ht="19.75" customHeight="1" x14ac:dyDescent="0.25">
      <c r="A634" s="8">
        <f>2019</f>
        <v>2019</v>
      </c>
      <c r="B634" s="3" t="s">
        <v>110</v>
      </c>
      <c r="C634" s="4">
        <v>53.607799999999997</v>
      </c>
      <c r="D634" s="5">
        <v>54.0411</v>
      </c>
    </row>
    <row r="635" spans="1:4" s="1" customFormat="1" ht="19.75" customHeight="1" x14ac:dyDescent="0.25">
      <c r="A635" s="8">
        <f>2019</f>
        <v>2019</v>
      </c>
      <c r="B635" s="3" t="s">
        <v>64</v>
      </c>
      <c r="C635" s="6">
        <v>14.441800000000001</v>
      </c>
      <c r="D635" s="7">
        <v>18.504200000000001</v>
      </c>
    </row>
    <row r="636" spans="1:4" s="1" customFormat="1" ht="19.75" customHeight="1" x14ac:dyDescent="0.25">
      <c r="A636" s="8">
        <f>2019</f>
        <v>2019</v>
      </c>
      <c r="B636" s="3" t="s">
        <v>65</v>
      </c>
      <c r="C636" s="4">
        <v>28.7483</v>
      </c>
      <c r="D636" s="5">
        <v>29.008299999999998</v>
      </c>
    </row>
    <row r="637" spans="1:4" s="1" customFormat="1" ht="19.75" customHeight="1" x14ac:dyDescent="0.25">
      <c r="A637" s="8">
        <f>2019</f>
        <v>2019</v>
      </c>
      <c r="B637" s="3" t="s">
        <v>66</v>
      </c>
      <c r="C637" s="6">
        <v>18.200299999999999</v>
      </c>
      <c r="D637" s="7">
        <v>65.169700000000006</v>
      </c>
    </row>
    <row r="638" spans="1:4" s="1" customFormat="1" ht="19.75" customHeight="1" x14ac:dyDescent="0.25">
      <c r="A638" s="8">
        <f>2019</f>
        <v>2019</v>
      </c>
      <c r="B638" s="3" t="s">
        <v>67</v>
      </c>
      <c r="C638" s="4">
        <v>32.409300000000002</v>
      </c>
      <c r="D638" s="5">
        <v>35.988500000000002</v>
      </c>
    </row>
    <row r="639" spans="1:4" s="1" customFormat="1" ht="19.75" customHeight="1" x14ac:dyDescent="0.25">
      <c r="A639" s="8">
        <f>2019</f>
        <v>2019</v>
      </c>
      <c r="B639" s="3" t="s">
        <v>68</v>
      </c>
      <c r="C639" s="6">
        <v>587.72320000000002</v>
      </c>
      <c r="D639" s="7">
        <v>652.73749999999995</v>
      </c>
    </row>
    <row r="640" spans="1:4" s="1" customFormat="1" ht="19.75" customHeight="1" x14ac:dyDescent="0.25">
      <c r="A640" s="8">
        <f>2019</f>
        <v>2019</v>
      </c>
      <c r="B640" s="3" t="s">
        <v>69</v>
      </c>
      <c r="C640" s="4">
        <v>307.13159999999999</v>
      </c>
      <c r="D640" s="5">
        <v>413.63619999999997</v>
      </c>
    </row>
    <row r="641" spans="1:4" s="1" customFormat="1" ht="19.75" customHeight="1" x14ac:dyDescent="0.25">
      <c r="A641" s="8">
        <f>2019</f>
        <v>2019</v>
      </c>
      <c r="B641" s="3" t="s">
        <v>95</v>
      </c>
      <c r="C641" s="6">
        <v>4.1041999999999996</v>
      </c>
      <c r="D641" s="7">
        <v>14.936199999999999</v>
      </c>
    </row>
    <row r="642" spans="1:4" s="1" customFormat="1" ht="19.75" customHeight="1" x14ac:dyDescent="0.25">
      <c r="A642" s="8">
        <f>2019</f>
        <v>2019</v>
      </c>
      <c r="B642" s="3" t="s">
        <v>71</v>
      </c>
      <c r="C642" s="4">
        <v>10500.050300000001</v>
      </c>
      <c r="D642" s="5">
        <v>12341.500899999999</v>
      </c>
    </row>
    <row r="643" spans="1:4" s="1" customFormat="1" ht="19.75" customHeight="1" x14ac:dyDescent="0.25">
      <c r="A643" s="8">
        <f>2019</f>
        <v>2019</v>
      </c>
      <c r="B643" s="3" t="s">
        <v>72</v>
      </c>
      <c r="C643" s="6">
        <v>1047.1597999999999</v>
      </c>
      <c r="D643" s="7">
        <v>1121.9294</v>
      </c>
    </row>
    <row r="644" spans="1:4" s="1" customFormat="1" ht="19.75" customHeight="1" x14ac:dyDescent="0.25">
      <c r="A644" s="8">
        <f>2019</f>
        <v>2019</v>
      </c>
      <c r="B644" s="3" t="s">
        <v>99</v>
      </c>
      <c r="C644" s="4">
        <v>229.6439</v>
      </c>
      <c r="D644" s="5">
        <v>264.68279999999999</v>
      </c>
    </row>
    <row r="645" spans="1:4" s="1" customFormat="1" ht="19.75" customHeight="1" x14ac:dyDescent="0.25">
      <c r="A645" s="8">
        <f>2019</f>
        <v>2019</v>
      </c>
      <c r="B645" s="3" t="s">
        <v>75</v>
      </c>
      <c r="C645" s="6">
        <v>94.160700000000006</v>
      </c>
      <c r="D645" s="7">
        <v>109.86709999999999</v>
      </c>
    </row>
    <row r="646" spans="1:4" s="1" customFormat="1" ht="19.75" customHeight="1" x14ac:dyDescent="0.25">
      <c r="A646" s="8">
        <f>2019</f>
        <v>2019</v>
      </c>
      <c r="B646" s="3" t="s">
        <v>107</v>
      </c>
      <c r="C646" s="4">
        <v>119.5671</v>
      </c>
      <c r="D646" s="5">
        <v>134.6414</v>
      </c>
    </row>
    <row r="647" spans="1:4" s="1" customFormat="1" ht="19.75" customHeight="1" x14ac:dyDescent="0.25">
      <c r="A647" s="8">
        <f>2019</f>
        <v>2019</v>
      </c>
      <c r="B647" s="3" t="s">
        <v>76</v>
      </c>
      <c r="C647" s="6">
        <v>215.46379999999999</v>
      </c>
      <c r="D647" s="7">
        <v>232.3416</v>
      </c>
    </row>
    <row r="648" spans="1:4" s="1" customFormat="1" ht="19.75" customHeight="1" x14ac:dyDescent="0.25">
      <c r="A648" s="8">
        <f>2019</f>
        <v>2019</v>
      </c>
      <c r="B648" s="3" t="s">
        <v>77</v>
      </c>
      <c r="C648" s="4">
        <v>2949.1288</v>
      </c>
      <c r="D648" s="5">
        <v>3411.0398</v>
      </c>
    </row>
    <row r="649" spans="1:4" s="1" customFormat="1" ht="19.75" customHeight="1" x14ac:dyDescent="0.25">
      <c r="A649" s="8">
        <f>2019</f>
        <v>2019</v>
      </c>
      <c r="B649" s="3" t="s">
        <v>78</v>
      </c>
      <c r="C649" s="6">
        <v>346.29129999999998</v>
      </c>
      <c r="D649" s="7">
        <v>377.59800000000001</v>
      </c>
    </row>
    <row r="650" spans="1:4" s="1" customFormat="1" ht="19.75" customHeight="1" x14ac:dyDescent="0.25">
      <c r="A650" s="8">
        <f>2019</f>
        <v>2019</v>
      </c>
      <c r="B650" s="3" t="s">
        <v>79</v>
      </c>
      <c r="C650" s="4">
        <v>2111.9344999999998</v>
      </c>
      <c r="D650" s="5">
        <v>2394.8319999999999</v>
      </c>
    </row>
    <row r="651" spans="1:4" s="1" customFormat="1" ht="19.75" customHeight="1" x14ac:dyDescent="0.25">
      <c r="A651" s="8">
        <f>2019</f>
        <v>2019</v>
      </c>
      <c r="B651" s="3" t="s">
        <v>80</v>
      </c>
      <c r="C651" s="6">
        <v>1031.6385</v>
      </c>
      <c r="D651" s="7">
        <v>1140.789</v>
      </c>
    </row>
    <row r="652" spans="1:4" s="1" customFormat="1" ht="19.75" customHeight="1" x14ac:dyDescent="0.25">
      <c r="A652" s="8">
        <f>2019</f>
        <v>2019</v>
      </c>
      <c r="B652" s="3" t="s">
        <v>84</v>
      </c>
      <c r="C652" s="4">
        <v>530.10799999999995</v>
      </c>
      <c r="D652" s="5">
        <v>597.03030000000001</v>
      </c>
    </row>
    <row r="653" spans="1:4" s="1" customFormat="1" ht="19.75" customHeight="1" x14ac:dyDescent="0.25">
      <c r="A653" s="8">
        <f>2019</f>
        <v>2019</v>
      </c>
      <c r="B653" s="3" t="s">
        <v>85</v>
      </c>
      <c r="C653" s="6">
        <v>1831.6098999999999</v>
      </c>
      <c r="D653" s="7">
        <v>2037.5740000000001</v>
      </c>
    </row>
    <row r="654" spans="1:4" s="1" customFormat="1" ht="19.75" customHeight="1" x14ac:dyDescent="0.25">
      <c r="A654" s="8">
        <f>2019</f>
        <v>2019</v>
      </c>
      <c r="B654" s="3" t="s">
        <v>87</v>
      </c>
      <c r="C654" s="4">
        <v>881.04449999999997</v>
      </c>
      <c r="D654" s="5">
        <v>939.09079999999994</v>
      </c>
    </row>
    <row r="655" spans="1:4" s="1" customFormat="1" ht="19.75" customHeight="1" x14ac:dyDescent="0.25">
      <c r="A655" s="8">
        <f>2018</f>
        <v>2018</v>
      </c>
      <c r="B655" s="3" t="s">
        <v>100</v>
      </c>
      <c r="C655" s="6">
        <v>16358.4926</v>
      </c>
      <c r="D655" s="7">
        <v>19051.052800000001</v>
      </c>
    </row>
    <row r="656" spans="1:4" s="1" customFormat="1" ht="19.75" customHeight="1" x14ac:dyDescent="0.25">
      <c r="A656" s="8">
        <f>2018</f>
        <v>2018</v>
      </c>
      <c r="B656" s="3" t="s">
        <v>101</v>
      </c>
      <c r="C656" s="4">
        <v>17974.538</v>
      </c>
      <c r="D656" s="5">
        <v>20346.5998</v>
      </c>
    </row>
    <row r="657" spans="1:4" s="1" customFormat="1" ht="19.75" customHeight="1" x14ac:dyDescent="0.25">
      <c r="A657" s="8">
        <f>2018</f>
        <v>2018</v>
      </c>
      <c r="B657" s="3" t="s">
        <v>0</v>
      </c>
      <c r="C657" s="6">
        <v>43648.541799999999</v>
      </c>
      <c r="D657" s="7">
        <v>50305.694499999998</v>
      </c>
    </row>
    <row r="658" spans="1:4" s="1" customFormat="1" ht="19.75" customHeight="1" x14ac:dyDescent="0.25">
      <c r="A658" s="8">
        <f>2018</f>
        <v>2018</v>
      </c>
      <c r="B658" s="3" t="s">
        <v>1</v>
      </c>
      <c r="C658" s="4">
        <v>38071.408900000002</v>
      </c>
      <c r="D658" s="5">
        <v>43805.165999999997</v>
      </c>
    </row>
    <row r="659" spans="1:4" s="1" customFormat="1" ht="19.75" customHeight="1" x14ac:dyDescent="0.25">
      <c r="A659" s="8">
        <f>2018</f>
        <v>2018</v>
      </c>
      <c r="B659" s="3" t="s">
        <v>2</v>
      </c>
      <c r="C659" s="6">
        <v>11096.409900000001</v>
      </c>
      <c r="D659" s="7">
        <v>12602.4647</v>
      </c>
    </row>
    <row r="660" spans="1:4" s="1" customFormat="1" ht="19.75" customHeight="1" x14ac:dyDescent="0.25">
      <c r="A660" s="8">
        <f>2018</f>
        <v>2018</v>
      </c>
      <c r="B660" s="3" t="s">
        <v>3</v>
      </c>
      <c r="C660" s="4">
        <v>41252.087599999999</v>
      </c>
      <c r="D660" s="5">
        <v>48194.94</v>
      </c>
    </row>
    <row r="661" spans="1:4" s="1" customFormat="1" ht="19.75" customHeight="1" x14ac:dyDescent="0.25">
      <c r="A661" s="8">
        <f>2018</f>
        <v>2018</v>
      </c>
      <c r="B661" s="3" t="s">
        <v>4</v>
      </c>
      <c r="C661" s="6">
        <v>24035.517100000001</v>
      </c>
      <c r="D661" s="7">
        <v>26657.868399999999</v>
      </c>
    </row>
    <row r="662" spans="1:4" s="1" customFormat="1" ht="19.75" customHeight="1" x14ac:dyDescent="0.25">
      <c r="A662" s="8">
        <f>2018</f>
        <v>2018</v>
      </c>
      <c r="B662" s="3" t="s">
        <v>102</v>
      </c>
      <c r="C662" s="4">
        <v>17628.332699999999</v>
      </c>
      <c r="D662" s="5">
        <v>19941.413499999999</v>
      </c>
    </row>
    <row r="663" spans="1:4" s="1" customFormat="1" ht="19.75" customHeight="1" x14ac:dyDescent="0.25">
      <c r="A663" s="8">
        <f>2018</f>
        <v>2018</v>
      </c>
      <c r="B663" s="3" t="s">
        <v>108</v>
      </c>
      <c r="C663" s="6">
        <v>8932.2247000000007</v>
      </c>
      <c r="D663" s="7">
        <v>10095.7456</v>
      </c>
    </row>
    <row r="664" spans="1:4" s="1" customFormat="1" ht="19.75" customHeight="1" x14ac:dyDescent="0.25">
      <c r="A664" s="8">
        <f>2018</f>
        <v>2018</v>
      </c>
      <c r="B664" s="3" t="s">
        <v>21</v>
      </c>
      <c r="C664" s="4">
        <v>23026.532500000001</v>
      </c>
      <c r="D664" s="5">
        <v>30040.112400000002</v>
      </c>
    </row>
    <row r="665" spans="1:4" s="1" customFormat="1" ht="19.75" customHeight="1" x14ac:dyDescent="0.25">
      <c r="A665" s="8">
        <f>2018</f>
        <v>2018</v>
      </c>
      <c r="B665" s="3" t="s">
        <v>5</v>
      </c>
      <c r="C665" s="6">
        <v>17113.647000000001</v>
      </c>
      <c r="D665" s="7">
        <v>19519.4843</v>
      </c>
    </row>
    <row r="666" spans="1:4" s="1" customFormat="1" ht="19.75" customHeight="1" x14ac:dyDescent="0.25">
      <c r="A666" s="8">
        <f>2018</f>
        <v>2018</v>
      </c>
      <c r="B666" s="3" t="s">
        <v>6</v>
      </c>
      <c r="C666" s="4">
        <v>17915.213</v>
      </c>
      <c r="D666" s="5">
        <v>21661.6492</v>
      </c>
    </row>
    <row r="667" spans="1:4" s="1" customFormat="1" ht="19.75" customHeight="1" x14ac:dyDescent="0.25">
      <c r="A667" s="8">
        <f>2018</f>
        <v>2018</v>
      </c>
      <c r="B667" s="3" t="s">
        <v>103</v>
      </c>
      <c r="C667" s="6">
        <v>17388.8891</v>
      </c>
      <c r="D667" s="7">
        <v>20181.250899999999</v>
      </c>
    </row>
    <row r="668" spans="1:4" s="1" customFormat="1" ht="19.75" customHeight="1" x14ac:dyDescent="0.25">
      <c r="A668" s="8">
        <f>2018</f>
        <v>2018</v>
      </c>
      <c r="B668" s="3" t="s">
        <v>7</v>
      </c>
      <c r="C668" s="4">
        <v>7948.7533000000003</v>
      </c>
      <c r="D668" s="5">
        <v>8529.9537999999993</v>
      </c>
    </row>
    <row r="669" spans="1:4" s="1" customFormat="1" ht="19.75" customHeight="1" x14ac:dyDescent="0.25">
      <c r="A669" s="8">
        <f>2018</f>
        <v>2018</v>
      </c>
      <c r="B669" s="3" t="s">
        <v>8</v>
      </c>
      <c r="C669" s="6">
        <v>47995.766300000003</v>
      </c>
      <c r="D669" s="7">
        <v>56876.635300000002</v>
      </c>
    </row>
    <row r="670" spans="1:4" s="1" customFormat="1" ht="19.75" customHeight="1" x14ac:dyDescent="0.25">
      <c r="A670" s="8">
        <f>2018</f>
        <v>2018</v>
      </c>
      <c r="B670" s="3" t="s">
        <v>9</v>
      </c>
      <c r="C670" s="4">
        <v>220499.3156</v>
      </c>
      <c r="D670" s="5">
        <v>265100.00270000001</v>
      </c>
    </row>
    <row r="671" spans="1:4" s="1" customFormat="1" ht="19.75" customHeight="1" x14ac:dyDescent="0.25">
      <c r="A671" s="8">
        <f>2018</f>
        <v>2018</v>
      </c>
      <c r="B671" s="3" t="s">
        <v>104</v>
      </c>
      <c r="C671" s="6">
        <v>21775.949799999999</v>
      </c>
      <c r="D671" s="7">
        <v>24581.850900000001</v>
      </c>
    </row>
    <row r="672" spans="1:4" s="1" customFormat="1" ht="19.75" customHeight="1" x14ac:dyDescent="0.25">
      <c r="A672" s="8">
        <f>2018</f>
        <v>2018</v>
      </c>
      <c r="B672" s="3" t="s">
        <v>10</v>
      </c>
      <c r="C672" s="4">
        <v>14020.125400000001</v>
      </c>
      <c r="D672" s="5">
        <v>15141.1286</v>
      </c>
    </row>
    <row r="673" spans="1:4" s="1" customFormat="1" ht="19.75" customHeight="1" x14ac:dyDescent="0.25">
      <c r="A673" s="8">
        <f>2018</f>
        <v>2018</v>
      </c>
      <c r="B673" s="3" t="s">
        <v>11</v>
      </c>
      <c r="C673" s="6">
        <v>32747.999199999998</v>
      </c>
      <c r="D673" s="7">
        <v>37737.867599999998</v>
      </c>
    </row>
    <row r="674" spans="1:4" s="1" customFormat="1" ht="19.75" customHeight="1" x14ac:dyDescent="0.25">
      <c r="A674" s="8">
        <f>2018</f>
        <v>2018</v>
      </c>
      <c r="B674" s="3" t="s">
        <v>105</v>
      </c>
      <c r="C674" s="4">
        <v>8341.6293000000005</v>
      </c>
      <c r="D674" s="5">
        <v>10556.1962</v>
      </c>
    </row>
    <row r="675" spans="1:4" s="1" customFormat="1" ht="19.75" customHeight="1" x14ac:dyDescent="0.25">
      <c r="A675" s="8">
        <f>2018</f>
        <v>2018</v>
      </c>
      <c r="B675" s="3" t="s">
        <v>109</v>
      </c>
      <c r="C675" s="6">
        <v>12589.843000000001</v>
      </c>
      <c r="D675" s="7">
        <v>14190.4519</v>
      </c>
    </row>
    <row r="676" spans="1:4" s="1" customFormat="1" ht="19.75" customHeight="1" x14ac:dyDescent="0.25">
      <c r="A676" s="8">
        <f>2018</f>
        <v>2018</v>
      </c>
      <c r="B676" s="3" t="s">
        <v>12</v>
      </c>
      <c r="C676" s="4">
        <v>45780.312299999998</v>
      </c>
      <c r="D676" s="5">
        <v>56747.398800000003</v>
      </c>
    </row>
    <row r="677" spans="1:4" s="1" customFormat="1" ht="19.75" customHeight="1" x14ac:dyDescent="0.25">
      <c r="A677" s="8">
        <f>2018</f>
        <v>2018</v>
      </c>
      <c r="B677" s="3" t="s">
        <v>13</v>
      </c>
      <c r="C677" s="6">
        <v>4802.2963239999999</v>
      </c>
      <c r="D677" s="7">
        <v>5508.480896</v>
      </c>
    </row>
    <row r="678" spans="1:4" s="1" customFormat="1" ht="19.75" customHeight="1" x14ac:dyDescent="0.25">
      <c r="A678" s="8">
        <f>2018</f>
        <v>2018</v>
      </c>
      <c r="B678" s="3" t="s">
        <v>14</v>
      </c>
      <c r="C678" s="4">
        <v>3402.4216000000001</v>
      </c>
      <c r="D678" s="5">
        <v>3934.5219999999999</v>
      </c>
    </row>
    <row r="679" spans="1:4" s="1" customFormat="1" ht="19.75" customHeight="1" x14ac:dyDescent="0.25">
      <c r="A679" s="8">
        <f>2018</f>
        <v>2018</v>
      </c>
      <c r="B679" s="3" t="s">
        <v>15</v>
      </c>
      <c r="C679" s="6">
        <v>1296.8059000000001</v>
      </c>
      <c r="D679" s="7">
        <v>1422.2261000000001</v>
      </c>
    </row>
    <row r="680" spans="1:4" s="1" customFormat="1" ht="19.75" customHeight="1" x14ac:dyDescent="0.25">
      <c r="A680" s="8">
        <f>2018</f>
        <v>2018</v>
      </c>
      <c r="B680" s="3" t="s">
        <v>16</v>
      </c>
      <c r="C680" s="4">
        <v>2412.9850999999999</v>
      </c>
      <c r="D680" s="5">
        <v>2723.2608</v>
      </c>
    </row>
    <row r="681" spans="1:4" s="1" customFormat="1" ht="19.75" customHeight="1" x14ac:dyDescent="0.25">
      <c r="A681" s="8">
        <f>2018</f>
        <v>2018</v>
      </c>
      <c r="B681" s="3" t="s">
        <v>17</v>
      </c>
      <c r="C681" s="6">
        <v>1013.3158</v>
      </c>
      <c r="D681" s="7">
        <v>1115.7845</v>
      </c>
    </row>
    <row r="682" spans="1:4" s="1" customFormat="1" ht="19.75" customHeight="1" x14ac:dyDescent="0.25">
      <c r="A682" s="8">
        <f>2018</f>
        <v>2018</v>
      </c>
      <c r="B682" s="3" t="s">
        <v>18</v>
      </c>
      <c r="C682" s="4">
        <v>9752.8636999999999</v>
      </c>
      <c r="D682" s="5">
        <v>10911.981900000001</v>
      </c>
    </row>
    <row r="683" spans="1:4" s="1" customFormat="1" ht="19.75" customHeight="1" x14ac:dyDescent="0.25">
      <c r="A683" s="8">
        <f>2018</f>
        <v>2018</v>
      </c>
      <c r="B683" s="3" t="s">
        <v>19</v>
      </c>
      <c r="C683" s="6">
        <v>80241.354999999996</v>
      </c>
      <c r="D683" s="7">
        <v>95461.659199999995</v>
      </c>
    </row>
    <row r="684" spans="1:4" s="1" customFormat="1" ht="19.75" customHeight="1" x14ac:dyDescent="0.25">
      <c r="A684" s="8">
        <f>2018</f>
        <v>2018</v>
      </c>
      <c r="B684" s="3" t="s">
        <v>20</v>
      </c>
      <c r="C684" s="4">
        <v>54965.892200000002</v>
      </c>
      <c r="D684" s="5">
        <v>72385.524799999999</v>
      </c>
    </row>
    <row r="685" spans="1:4" s="1" customFormat="1" ht="19.75" customHeight="1" x14ac:dyDescent="0.25">
      <c r="A685" s="8">
        <f>2018</f>
        <v>2018</v>
      </c>
      <c r="B685" s="3" t="s">
        <v>111</v>
      </c>
      <c r="C685" s="6">
        <v>8930.0046000000002</v>
      </c>
      <c r="D685" s="7">
        <v>10047.897300000001</v>
      </c>
    </row>
    <row r="686" spans="1:4" s="1" customFormat="1" ht="19.75" customHeight="1" x14ac:dyDescent="0.25">
      <c r="A686" s="8">
        <f>2018</f>
        <v>2018</v>
      </c>
      <c r="B686" s="3" t="s">
        <v>23</v>
      </c>
      <c r="C686" s="4">
        <v>17280.7487</v>
      </c>
      <c r="D686" s="5">
        <v>22030.851999999999</v>
      </c>
    </row>
    <row r="687" spans="1:4" s="1" customFormat="1" ht="19.75" customHeight="1" x14ac:dyDescent="0.25">
      <c r="A687" s="8">
        <f>2018</f>
        <v>2018</v>
      </c>
      <c r="B687" s="3" t="s">
        <v>24</v>
      </c>
      <c r="C687" s="6">
        <v>6621.4004000000004</v>
      </c>
      <c r="D687" s="7">
        <v>7116.7066000000004</v>
      </c>
    </row>
    <row r="688" spans="1:4" s="1" customFormat="1" ht="19.75" customHeight="1" x14ac:dyDescent="0.25">
      <c r="A688" s="8">
        <f>2018</f>
        <v>2018</v>
      </c>
      <c r="B688" s="3" t="s">
        <v>25</v>
      </c>
      <c r="C688" s="4">
        <v>5423.7502000000004</v>
      </c>
      <c r="D688" s="5">
        <v>6378.0945000000002</v>
      </c>
    </row>
    <row r="689" spans="1:4" s="1" customFormat="1" ht="19.75" customHeight="1" x14ac:dyDescent="0.25">
      <c r="A689" s="8">
        <f>2018</f>
        <v>2018</v>
      </c>
      <c r="B689" s="3" t="s">
        <v>26</v>
      </c>
      <c r="C689" s="6">
        <v>5699.6532999999999</v>
      </c>
      <c r="D689" s="7">
        <v>6599.5870000000004</v>
      </c>
    </row>
    <row r="690" spans="1:4" s="1" customFormat="1" ht="19.75" customHeight="1" x14ac:dyDescent="0.25">
      <c r="A690" s="8">
        <f>2018</f>
        <v>2018</v>
      </c>
      <c r="B690" s="3" t="s">
        <v>27</v>
      </c>
      <c r="C690" s="4">
        <v>19748.495599999998</v>
      </c>
      <c r="D690" s="5">
        <v>23800.703799999999</v>
      </c>
    </row>
    <row r="691" spans="1:4" s="1" customFormat="1" ht="19.75" customHeight="1" x14ac:dyDescent="0.25">
      <c r="A691" s="8">
        <f>2018</f>
        <v>2018</v>
      </c>
      <c r="B691" s="3" t="s">
        <v>106</v>
      </c>
      <c r="C691" s="6">
        <v>3041.6217000000001</v>
      </c>
      <c r="D691" s="7">
        <v>3388.4295000000002</v>
      </c>
    </row>
    <row r="692" spans="1:4" s="1" customFormat="1" ht="19.75" customHeight="1" x14ac:dyDescent="0.25">
      <c r="A692" s="8">
        <f>2018</f>
        <v>2018</v>
      </c>
      <c r="B692" s="3" t="s">
        <v>28</v>
      </c>
      <c r="C692" s="4">
        <v>617.28809999999999</v>
      </c>
      <c r="D692" s="5">
        <v>652.76289999999995</v>
      </c>
    </row>
    <row r="693" spans="1:4" s="1" customFormat="1" ht="19.75" customHeight="1" x14ac:dyDescent="0.25">
      <c r="A693" s="8">
        <f>2018</f>
        <v>2018</v>
      </c>
      <c r="B693" s="3" t="s">
        <v>29</v>
      </c>
      <c r="C693" s="6">
        <v>4507.5654999999997</v>
      </c>
      <c r="D693" s="7">
        <v>5575.7538999999997</v>
      </c>
    </row>
    <row r="694" spans="1:4" s="1" customFormat="1" ht="19.75" customHeight="1" x14ac:dyDescent="0.25">
      <c r="A694" s="8">
        <f>2018</f>
        <v>2018</v>
      </c>
      <c r="B694" s="3" t="s">
        <v>30</v>
      </c>
      <c r="C694" s="4">
        <v>6192.8104000000003</v>
      </c>
      <c r="D694" s="5">
        <v>7030.0550999999996</v>
      </c>
    </row>
    <row r="695" spans="1:4" s="1" customFormat="1" ht="19.75" customHeight="1" x14ac:dyDescent="0.25">
      <c r="A695" s="8">
        <f>2018</f>
        <v>2018</v>
      </c>
      <c r="B695" s="3" t="s">
        <v>31</v>
      </c>
      <c r="C695" s="6">
        <v>3250.4924999999998</v>
      </c>
      <c r="D695" s="7">
        <v>3756.6147000000001</v>
      </c>
    </row>
    <row r="696" spans="1:4" s="1" customFormat="1" ht="19.75" customHeight="1" x14ac:dyDescent="0.25">
      <c r="A696" s="8">
        <f>2018</f>
        <v>2018</v>
      </c>
      <c r="B696" s="3" t="s">
        <v>32</v>
      </c>
      <c r="C696" s="4">
        <v>20267.421600000001</v>
      </c>
      <c r="D696" s="5">
        <v>25491.255099999998</v>
      </c>
    </row>
    <row r="697" spans="1:4" s="1" customFormat="1" ht="19.75" customHeight="1" x14ac:dyDescent="0.25">
      <c r="A697" s="8">
        <f>2018</f>
        <v>2018</v>
      </c>
      <c r="B697" s="3" t="s">
        <v>92</v>
      </c>
      <c r="C697" s="6">
        <v>6.9207000000000001</v>
      </c>
      <c r="D697" s="7">
        <v>33.307400000000001</v>
      </c>
    </row>
    <row r="698" spans="1:4" s="1" customFormat="1" ht="19.75" customHeight="1" x14ac:dyDescent="0.25">
      <c r="A698" s="8">
        <f>2018</f>
        <v>2018</v>
      </c>
      <c r="B698" s="3" t="s">
        <v>97</v>
      </c>
      <c r="C698" s="4">
        <v>181.14689999999999</v>
      </c>
      <c r="D698" s="5">
        <v>200.72149999999999</v>
      </c>
    </row>
    <row r="699" spans="1:4" s="1" customFormat="1" ht="19.75" customHeight="1" x14ac:dyDescent="0.25">
      <c r="A699" s="8">
        <f>2018</f>
        <v>2018</v>
      </c>
      <c r="B699" s="3" t="s">
        <v>34</v>
      </c>
      <c r="C699" s="6">
        <v>363.36759999999998</v>
      </c>
      <c r="D699" s="7">
        <v>1600.8181999999999</v>
      </c>
    </row>
    <row r="700" spans="1:4" s="1" customFormat="1" ht="30.4" customHeight="1" x14ac:dyDescent="0.25">
      <c r="A700" s="8">
        <f>2018</f>
        <v>2018</v>
      </c>
      <c r="B700" s="3" t="s">
        <v>35</v>
      </c>
      <c r="C700" s="4">
        <v>287.50130000000001</v>
      </c>
      <c r="D700" s="5">
        <v>392.34269999999998</v>
      </c>
    </row>
    <row r="701" spans="1:4" s="1" customFormat="1" ht="19.75" customHeight="1" x14ac:dyDescent="0.25">
      <c r="A701" s="8">
        <f>2018</f>
        <v>2018</v>
      </c>
      <c r="B701" s="3" t="s">
        <v>36</v>
      </c>
      <c r="C701" s="6">
        <v>1978.6495</v>
      </c>
      <c r="D701" s="7">
        <v>2654.8126999999999</v>
      </c>
    </row>
    <row r="702" spans="1:4" s="1" customFormat="1" ht="19.75" customHeight="1" x14ac:dyDescent="0.25">
      <c r="A702" s="8">
        <f>2018</f>
        <v>2018</v>
      </c>
      <c r="B702" s="3" t="s">
        <v>37</v>
      </c>
      <c r="C702" s="4">
        <v>132.1798</v>
      </c>
      <c r="D702" s="5">
        <v>153.73689999999999</v>
      </c>
    </row>
    <row r="703" spans="1:4" s="1" customFormat="1" ht="19.75" customHeight="1" x14ac:dyDescent="0.25">
      <c r="A703" s="8">
        <f>2018</f>
        <v>2018</v>
      </c>
      <c r="B703" s="3" t="s">
        <v>38</v>
      </c>
      <c r="C703" s="6">
        <v>38.028199999999998</v>
      </c>
      <c r="D703" s="7">
        <v>45.652200000000001</v>
      </c>
    </row>
    <row r="704" spans="1:4" s="1" customFormat="1" ht="19.75" customHeight="1" x14ac:dyDescent="0.25">
      <c r="A704" s="8">
        <f>2018</f>
        <v>2018</v>
      </c>
      <c r="B704" s="3" t="s">
        <v>40</v>
      </c>
      <c r="C704" s="4">
        <v>312.62920000000003</v>
      </c>
      <c r="D704" s="5">
        <v>405.98129999999998</v>
      </c>
    </row>
    <row r="705" spans="1:4" s="1" customFormat="1" ht="19.75" customHeight="1" x14ac:dyDescent="0.25">
      <c r="A705" s="8">
        <f>2018</f>
        <v>2018</v>
      </c>
      <c r="B705" s="3" t="s">
        <v>41</v>
      </c>
      <c r="C705" s="6">
        <v>1316.3438000000001</v>
      </c>
      <c r="D705" s="7">
        <v>1629.2333000000001</v>
      </c>
    </row>
    <row r="706" spans="1:4" s="1" customFormat="1" ht="19.75" customHeight="1" x14ac:dyDescent="0.25">
      <c r="A706" s="8">
        <f>2018</f>
        <v>2018</v>
      </c>
      <c r="B706" s="3" t="s">
        <v>42</v>
      </c>
      <c r="C706" s="4">
        <v>2135.6853000000001</v>
      </c>
      <c r="D706" s="5">
        <v>2490.1574000000001</v>
      </c>
    </row>
    <row r="707" spans="1:4" s="1" customFormat="1" ht="19.75" customHeight="1" x14ac:dyDescent="0.25">
      <c r="A707" s="8">
        <f>2018</f>
        <v>2018</v>
      </c>
      <c r="B707" s="3" t="s">
        <v>43</v>
      </c>
      <c r="C707" s="6">
        <v>10475.719999999999</v>
      </c>
      <c r="D707" s="7">
        <v>13909.25</v>
      </c>
    </row>
    <row r="708" spans="1:4" s="1" customFormat="1" ht="19.75" customHeight="1" x14ac:dyDescent="0.25">
      <c r="A708" s="8">
        <f>2018</f>
        <v>2018</v>
      </c>
      <c r="B708" s="3" t="s">
        <v>44</v>
      </c>
      <c r="C708" s="4">
        <v>245.3083</v>
      </c>
      <c r="D708" s="5">
        <v>275.97160000000002</v>
      </c>
    </row>
    <row r="709" spans="1:4" s="1" customFormat="1" ht="19.75" customHeight="1" x14ac:dyDescent="0.25">
      <c r="A709" s="8">
        <f>2018</f>
        <v>2018</v>
      </c>
      <c r="B709" s="3" t="s">
        <v>45</v>
      </c>
      <c r="C709" s="6">
        <v>425.0068</v>
      </c>
      <c r="D709" s="7">
        <v>427.3571</v>
      </c>
    </row>
    <row r="710" spans="1:4" s="1" customFormat="1" ht="19.75" customHeight="1" x14ac:dyDescent="0.25">
      <c r="A710" s="8">
        <f>2018</f>
        <v>2018</v>
      </c>
      <c r="B710" s="3" t="s">
        <v>93</v>
      </c>
      <c r="C710" s="4">
        <v>429.94880000000001</v>
      </c>
      <c r="D710" s="5">
        <v>417.70229999999998</v>
      </c>
    </row>
    <row r="711" spans="1:4" s="1" customFormat="1" ht="19.75" customHeight="1" x14ac:dyDescent="0.25">
      <c r="A711" s="8">
        <f>2018</f>
        <v>2018</v>
      </c>
      <c r="B711" s="3" t="s">
        <v>46</v>
      </c>
      <c r="C711" s="6">
        <v>61.320300000000003</v>
      </c>
      <c r="D711" s="7">
        <v>68.916499999999999</v>
      </c>
    </row>
    <row r="712" spans="1:4" s="1" customFormat="1" ht="19.75" customHeight="1" x14ac:dyDescent="0.25">
      <c r="A712" s="8">
        <f>2018</f>
        <v>2018</v>
      </c>
      <c r="B712" s="3" t="s">
        <v>47</v>
      </c>
      <c r="C712" s="4">
        <v>2485.3948</v>
      </c>
      <c r="D712" s="5">
        <v>2782.0360000000001</v>
      </c>
    </row>
    <row r="713" spans="1:4" s="1" customFormat="1" ht="19.75" customHeight="1" x14ac:dyDescent="0.25">
      <c r="A713" s="8">
        <f>2018</f>
        <v>2018</v>
      </c>
      <c r="B713" s="3" t="s">
        <v>48</v>
      </c>
      <c r="C713" s="6">
        <v>4741.1819999999998</v>
      </c>
      <c r="D713" s="7">
        <v>5716.2816000000003</v>
      </c>
    </row>
    <row r="714" spans="1:4" s="1" customFormat="1" ht="19.75" customHeight="1" x14ac:dyDescent="0.25">
      <c r="A714" s="8">
        <f>2018</f>
        <v>2018</v>
      </c>
      <c r="B714" s="3" t="s">
        <v>49</v>
      </c>
      <c r="C714" s="4">
        <v>60.228299999999997</v>
      </c>
      <c r="D714" s="5">
        <v>71.654399999999995</v>
      </c>
    </row>
    <row r="715" spans="1:4" s="1" customFormat="1" ht="19.75" customHeight="1" x14ac:dyDescent="0.25">
      <c r="A715" s="8">
        <f>2018</f>
        <v>2018</v>
      </c>
      <c r="B715" s="3" t="s">
        <v>50</v>
      </c>
      <c r="C715" s="6">
        <v>32.214100000000002</v>
      </c>
      <c r="D715" s="7">
        <v>32.771299999999997</v>
      </c>
    </row>
    <row r="716" spans="1:4" s="1" customFormat="1" ht="19.75" customHeight="1" x14ac:dyDescent="0.25">
      <c r="A716" s="8">
        <f>2018</f>
        <v>2018</v>
      </c>
      <c r="B716" s="3" t="s">
        <v>51</v>
      </c>
      <c r="C716" s="4">
        <v>59.770699999999998</v>
      </c>
      <c r="D716" s="5">
        <v>83.435699999999997</v>
      </c>
    </row>
    <row r="717" spans="1:4" s="1" customFormat="1" ht="19.75" customHeight="1" x14ac:dyDescent="0.25">
      <c r="A717" s="8">
        <f>2018</f>
        <v>2018</v>
      </c>
      <c r="B717" s="3" t="s">
        <v>52</v>
      </c>
      <c r="C717" s="6">
        <v>97.585800000000006</v>
      </c>
      <c r="D717" s="7">
        <v>141.44399999999999</v>
      </c>
    </row>
    <row r="718" spans="1:4" s="1" customFormat="1" ht="19.75" customHeight="1" x14ac:dyDescent="0.25">
      <c r="A718" s="8">
        <f>2018</f>
        <v>2018</v>
      </c>
      <c r="B718" s="3" t="s">
        <v>98</v>
      </c>
      <c r="C718" s="4">
        <v>8769.6877999999997</v>
      </c>
      <c r="D718" s="5">
        <v>10471.4277</v>
      </c>
    </row>
    <row r="719" spans="1:4" s="1" customFormat="1" ht="19.75" customHeight="1" x14ac:dyDescent="0.25">
      <c r="A719" s="8">
        <f>2018</f>
        <v>2018</v>
      </c>
      <c r="B719" s="3" t="s">
        <v>53</v>
      </c>
      <c r="C719" s="6">
        <v>173.12360000000001</v>
      </c>
      <c r="D719" s="7">
        <v>191.38650000000001</v>
      </c>
    </row>
    <row r="720" spans="1:4" s="1" customFormat="1" ht="19.75" customHeight="1" x14ac:dyDescent="0.25">
      <c r="A720" s="8">
        <f>2018</f>
        <v>2018</v>
      </c>
      <c r="B720" s="3" t="s">
        <v>54</v>
      </c>
      <c r="C720" s="4">
        <v>20.466699999999999</v>
      </c>
      <c r="D720" s="5">
        <v>26.916399999999999</v>
      </c>
    </row>
    <row r="721" spans="1:4" s="1" customFormat="1" ht="19.75" customHeight="1" x14ac:dyDescent="0.25">
      <c r="A721" s="8">
        <f>2018</f>
        <v>2018</v>
      </c>
      <c r="B721" s="3" t="s">
        <v>55</v>
      </c>
      <c r="C721" s="6">
        <v>1570.3430000000001</v>
      </c>
      <c r="D721" s="7">
        <v>2729.4688999999998</v>
      </c>
    </row>
    <row r="722" spans="1:4" s="1" customFormat="1" ht="19.75" customHeight="1" x14ac:dyDescent="0.25">
      <c r="A722" s="8">
        <f>2018</f>
        <v>2018</v>
      </c>
      <c r="B722" s="3" t="s">
        <v>56</v>
      </c>
      <c r="C722" s="4">
        <v>2.6292</v>
      </c>
      <c r="D722" s="5">
        <v>2.6890000000000001</v>
      </c>
    </row>
    <row r="723" spans="1:4" s="1" customFormat="1" ht="19.75" customHeight="1" x14ac:dyDescent="0.25">
      <c r="A723" s="8">
        <f>2018</f>
        <v>2018</v>
      </c>
      <c r="B723" s="3" t="s">
        <v>57</v>
      </c>
      <c r="C723" s="6">
        <v>60.467500000000001</v>
      </c>
      <c r="D723" s="7">
        <v>69.934700000000007</v>
      </c>
    </row>
    <row r="724" spans="1:4" s="1" customFormat="1" ht="19.75" customHeight="1" x14ac:dyDescent="0.25">
      <c r="A724" s="8">
        <f>2018</f>
        <v>2018</v>
      </c>
      <c r="B724" s="3" t="s">
        <v>94</v>
      </c>
      <c r="C724" s="4">
        <v>27.6873</v>
      </c>
      <c r="D724" s="5">
        <v>28.235700000000001</v>
      </c>
    </row>
    <row r="725" spans="1:4" s="1" customFormat="1" ht="19.75" customHeight="1" x14ac:dyDescent="0.25">
      <c r="A725" s="8">
        <f>2018</f>
        <v>2018</v>
      </c>
      <c r="B725" s="3" t="s">
        <v>59</v>
      </c>
      <c r="C725" s="6">
        <v>20.472300000000001</v>
      </c>
      <c r="D725" s="7">
        <v>52.483699999999999</v>
      </c>
    </row>
    <row r="726" spans="1:4" s="1" customFormat="1" ht="19.75" customHeight="1" x14ac:dyDescent="0.25">
      <c r="A726" s="8">
        <f>2018</f>
        <v>2018</v>
      </c>
      <c r="B726" s="3" t="s">
        <v>60</v>
      </c>
      <c r="C726" s="4">
        <v>818.18780000000004</v>
      </c>
      <c r="D726" s="5">
        <v>976.15380000000005</v>
      </c>
    </row>
    <row r="727" spans="1:4" s="1" customFormat="1" ht="19.75" customHeight="1" x14ac:dyDescent="0.25">
      <c r="A727" s="8">
        <f>2018</f>
        <v>2018</v>
      </c>
      <c r="B727" s="3" t="s">
        <v>61</v>
      </c>
      <c r="C727" s="6">
        <v>1263.8333</v>
      </c>
      <c r="D727" s="7">
        <v>1578.9141</v>
      </c>
    </row>
    <row r="728" spans="1:4" s="1" customFormat="1" ht="19.75" customHeight="1" x14ac:dyDescent="0.25">
      <c r="A728" s="8">
        <f>2018</f>
        <v>2018</v>
      </c>
      <c r="B728" s="3" t="s">
        <v>110</v>
      </c>
      <c r="C728" s="4">
        <v>53.662700000000001</v>
      </c>
      <c r="D728" s="5">
        <v>55.954099999999997</v>
      </c>
    </row>
    <row r="729" spans="1:4" s="1" customFormat="1" ht="19.75" customHeight="1" x14ac:dyDescent="0.25">
      <c r="A729" s="8">
        <f>2018</f>
        <v>2018</v>
      </c>
      <c r="B729" s="3" t="s">
        <v>64</v>
      </c>
      <c r="C729" s="6">
        <v>16.241299999999999</v>
      </c>
      <c r="D729" s="7">
        <v>19.451799999999999</v>
      </c>
    </row>
    <row r="730" spans="1:4" s="1" customFormat="1" ht="19.75" customHeight="1" x14ac:dyDescent="0.25">
      <c r="A730" s="8">
        <f>2018</f>
        <v>2018</v>
      </c>
      <c r="B730" s="3" t="s">
        <v>65</v>
      </c>
      <c r="C730" s="4">
        <v>16.895700000000001</v>
      </c>
      <c r="D730" s="5">
        <v>17.055599999999998</v>
      </c>
    </row>
    <row r="731" spans="1:4" s="1" customFormat="1" ht="19.75" customHeight="1" x14ac:dyDescent="0.25">
      <c r="A731" s="8">
        <f>2018</f>
        <v>2018</v>
      </c>
      <c r="B731" s="3" t="s">
        <v>66</v>
      </c>
      <c r="C731" s="6">
        <v>18.360700000000001</v>
      </c>
      <c r="D731" s="7">
        <v>29.1066</v>
      </c>
    </row>
    <row r="732" spans="1:4" s="1" customFormat="1" ht="19.75" customHeight="1" x14ac:dyDescent="0.25">
      <c r="A732" s="8">
        <f>2018</f>
        <v>2018</v>
      </c>
      <c r="B732" s="3" t="s">
        <v>67</v>
      </c>
      <c r="C732" s="4">
        <v>132.55119999999999</v>
      </c>
      <c r="D732" s="5">
        <v>146.85499999999999</v>
      </c>
    </row>
    <row r="733" spans="1:4" s="1" customFormat="1" ht="19.75" customHeight="1" x14ac:dyDescent="0.25">
      <c r="A733" s="8">
        <f>2018</f>
        <v>2018</v>
      </c>
      <c r="B733" s="3" t="s">
        <v>68</v>
      </c>
      <c r="C733" s="6">
        <v>527.38279999999997</v>
      </c>
      <c r="D733" s="7">
        <v>575.3999</v>
      </c>
    </row>
    <row r="734" spans="1:4" s="1" customFormat="1" ht="19.75" customHeight="1" x14ac:dyDescent="0.25">
      <c r="A734" s="8">
        <f>2018</f>
        <v>2018</v>
      </c>
      <c r="B734" s="3" t="s">
        <v>69</v>
      </c>
      <c r="C734" s="4">
        <v>253.62690000000001</v>
      </c>
      <c r="D734" s="5">
        <v>339.41199999999998</v>
      </c>
    </row>
    <row r="735" spans="1:4" s="1" customFormat="1" ht="19.75" customHeight="1" x14ac:dyDescent="0.25">
      <c r="A735" s="8">
        <f>2018</f>
        <v>2018</v>
      </c>
      <c r="B735" s="3" t="s">
        <v>95</v>
      </c>
      <c r="C735" s="6">
        <v>4.3499999999999996</v>
      </c>
      <c r="D735" s="7">
        <v>15.7258</v>
      </c>
    </row>
    <row r="736" spans="1:4" s="1" customFormat="1" ht="19.75" customHeight="1" x14ac:dyDescent="0.25">
      <c r="A736" s="8">
        <f>2018</f>
        <v>2018</v>
      </c>
      <c r="B736" s="3" t="s">
        <v>71</v>
      </c>
      <c r="C736" s="4">
        <v>9615.7209999999995</v>
      </c>
      <c r="D736" s="5">
        <v>11462.0856</v>
      </c>
    </row>
    <row r="737" spans="1:4" s="1" customFormat="1" ht="19.75" customHeight="1" x14ac:dyDescent="0.25">
      <c r="A737" s="8">
        <f>2018</f>
        <v>2018</v>
      </c>
      <c r="B737" s="3" t="s">
        <v>72</v>
      </c>
      <c r="C737" s="6">
        <v>767.42899999999997</v>
      </c>
      <c r="D737" s="7">
        <v>807.93769999999995</v>
      </c>
    </row>
    <row r="738" spans="1:4" s="1" customFormat="1" ht="19.75" customHeight="1" x14ac:dyDescent="0.25">
      <c r="A738" s="8">
        <f>2018</f>
        <v>2018</v>
      </c>
      <c r="B738" s="3" t="s">
        <v>99</v>
      </c>
      <c r="C738" s="4">
        <v>209.67420000000001</v>
      </c>
      <c r="D738" s="5">
        <v>212.17169999999999</v>
      </c>
    </row>
    <row r="739" spans="1:4" s="1" customFormat="1" ht="19.75" customHeight="1" x14ac:dyDescent="0.25">
      <c r="A739" s="8">
        <f>2018</f>
        <v>2018</v>
      </c>
      <c r="B739" s="3" t="s">
        <v>75</v>
      </c>
      <c r="C739" s="6">
        <v>74.682000000000002</v>
      </c>
      <c r="D739" s="7">
        <v>80.718800000000002</v>
      </c>
    </row>
    <row r="740" spans="1:4" s="1" customFormat="1" ht="19.75" customHeight="1" x14ac:dyDescent="0.25">
      <c r="A740" s="8">
        <f>2018</f>
        <v>2018</v>
      </c>
      <c r="B740" s="3" t="s">
        <v>107</v>
      </c>
      <c r="C740" s="4">
        <v>116.03100000000001</v>
      </c>
      <c r="D740" s="5">
        <v>133.43960000000001</v>
      </c>
    </row>
    <row r="741" spans="1:4" s="1" customFormat="1" ht="19.75" customHeight="1" x14ac:dyDescent="0.25">
      <c r="A741" s="8">
        <f>2018</f>
        <v>2018</v>
      </c>
      <c r="B741" s="3" t="s">
        <v>76</v>
      </c>
      <c r="C741" s="6">
        <v>103.95099999999999</v>
      </c>
      <c r="D741" s="7">
        <v>113.84950000000001</v>
      </c>
    </row>
    <row r="742" spans="1:4" s="1" customFormat="1" ht="19.75" customHeight="1" x14ac:dyDescent="0.25">
      <c r="A742" s="8">
        <f>2018</f>
        <v>2018</v>
      </c>
      <c r="B742" s="3" t="s">
        <v>77</v>
      </c>
      <c r="C742" s="4">
        <v>1767.1899000000001</v>
      </c>
      <c r="D742" s="5">
        <v>2155.25</v>
      </c>
    </row>
    <row r="743" spans="1:4" s="1" customFormat="1" ht="19.75" customHeight="1" x14ac:dyDescent="0.25">
      <c r="A743" s="8">
        <f>2018</f>
        <v>2018</v>
      </c>
      <c r="B743" s="3" t="s">
        <v>78</v>
      </c>
      <c r="C743" s="6">
        <v>271.00459999999998</v>
      </c>
      <c r="D743" s="7">
        <v>293.8657</v>
      </c>
    </row>
    <row r="744" spans="1:4" s="1" customFormat="1" ht="19.75" customHeight="1" x14ac:dyDescent="0.25">
      <c r="A744" s="8">
        <f>2018</f>
        <v>2018</v>
      </c>
      <c r="B744" s="3" t="s">
        <v>79</v>
      </c>
      <c r="C744" s="4">
        <v>1542.7123999999999</v>
      </c>
      <c r="D744" s="5">
        <v>1783.9275</v>
      </c>
    </row>
    <row r="745" spans="1:4" s="1" customFormat="1" ht="19.75" customHeight="1" x14ac:dyDescent="0.25">
      <c r="A745" s="8">
        <f>2018</f>
        <v>2018</v>
      </c>
      <c r="B745" s="3" t="s">
        <v>84</v>
      </c>
      <c r="C745" s="6">
        <v>286.88150000000002</v>
      </c>
      <c r="D745" s="7">
        <v>324.92579999999998</v>
      </c>
    </row>
    <row r="746" spans="1:4" s="1" customFormat="1" ht="19.75" customHeight="1" x14ac:dyDescent="0.25">
      <c r="A746" s="8">
        <f>2018</f>
        <v>2018</v>
      </c>
      <c r="B746" s="3" t="s">
        <v>85</v>
      </c>
      <c r="C746" s="4">
        <v>1467.8756000000001</v>
      </c>
      <c r="D746" s="5">
        <v>1579.3552</v>
      </c>
    </row>
    <row r="747" spans="1:4" s="1" customFormat="1" ht="19.75" customHeight="1" x14ac:dyDescent="0.25">
      <c r="A747" s="8">
        <f>2018</f>
        <v>2018</v>
      </c>
      <c r="B747" s="3" t="s">
        <v>87</v>
      </c>
      <c r="C747" s="6">
        <v>518.17349999999999</v>
      </c>
      <c r="D747" s="7">
        <v>561.86320000000001</v>
      </c>
    </row>
    <row r="748" spans="1:4" s="1" customFormat="1" ht="19.75" customHeight="1" x14ac:dyDescent="0.25">
      <c r="A748" s="8">
        <f>2017</f>
        <v>2017</v>
      </c>
      <c r="B748" s="3" t="s">
        <v>112</v>
      </c>
      <c r="C748" s="4">
        <v>9153.5226999999995</v>
      </c>
      <c r="D748" s="5">
        <v>10569.14</v>
      </c>
    </row>
    <row r="749" spans="1:4" s="1" customFormat="1" ht="19.75" customHeight="1" x14ac:dyDescent="0.25">
      <c r="A749" s="8">
        <f>2017</f>
        <v>2017</v>
      </c>
      <c r="B749" s="3" t="s">
        <v>113</v>
      </c>
      <c r="C749" s="6">
        <v>13177.133</v>
      </c>
      <c r="D749" s="7">
        <v>15088.054400000001</v>
      </c>
    </row>
    <row r="750" spans="1:4" s="1" customFormat="1" ht="19.75" customHeight="1" x14ac:dyDescent="0.25">
      <c r="A750" s="8">
        <f>2017</f>
        <v>2017</v>
      </c>
      <c r="B750" s="3" t="s">
        <v>9</v>
      </c>
      <c r="C750" s="4">
        <v>175518.24040000001</v>
      </c>
      <c r="D750" s="5">
        <v>210979.1679</v>
      </c>
    </row>
    <row r="751" spans="1:4" s="1" customFormat="1" ht="19.75" customHeight="1" x14ac:dyDescent="0.25">
      <c r="A751" s="8">
        <f>2017</f>
        <v>2017</v>
      </c>
      <c r="B751" s="3" t="s">
        <v>114</v>
      </c>
      <c r="C751" s="6">
        <v>6829.9957999999997</v>
      </c>
      <c r="D751" s="7">
        <v>7827.4023999999999</v>
      </c>
    </row>
    <row r="752" spans="1:4" s="1" customFormat="1" ht="19.75" customHeight="1" x14ac:dyDescent="0.25">
      <c r="A752" s="8">
        <f>2017</f>
        <v>2017</v>
      </c>
      <c r="B752" s="3" t="s">
        <v>115</v>
      </c>
      <c r="C752" s="4">
        <v>9743.4297000000006</v>
      </c>
      <c r="D752" s="5">
        <v>11223.9359</v>
      </c>
    </row>
    <row r="753" spans="1:4" s="1" customFormat="1" ht="19.75" customHeight="1" x14ac:dyDescent="0.25">
      <c r="A753" s="8">
        <f>2017</f>
        <v>2017</v>
      </c>
      <c r="B753" s="3" t="s">
        <v>116</v>
      </c>
      <c r="C753" s="6">
        <v>9537.4591</v>
      </c>
      <c r="D753" s="7">
        <v>11019.083199999999</v>
      </c>
    </row>
    <row r="754" spans="1:4" s="1" customFormat="1" ht="19.75" customHeight="1" x14ac:dyDescent="0.25">
      <c r="A754" s="8">
        <f>2017</f>
        <v>2017</v>
      </c>
      <c r="B754" s="3" t="s">
        <v>100</v>
      </c>
      <c r="C754" s="4">
        <v>17660.393599999999</v>
      </c>
      <c r="D754" s="5">
        <v>20304.724699999999</v>
      </c>
    </row>
    <row r="755" spans="1:4" s="1" customFormat="1" ht="19.75" customHeight="1" x14ac:dyDescent="0.25">
      <c r="A755" s="8">
        <f>2017</f>
        <v>2017</v>
      </c>
      <c r="B755" s="3" t="s">
        <v>101</v>
      </c>
      <c r="C755" s="6">
        <v>18027.418099999999</v>
      </c>
      <c r="D755" s="7">
        <v>20335.7235</v>
      </c>
    </row>
    <row r="756" spans="1:4" s="1" customFormat="1" ht="19.75" customHeight="1" x14ac:dyDescent="0.25">
      <c r="A756" s="8">
        <f>2017</f>
        <v>2017</v>
      </c>
      <c r="B756" s="3" t="s">
        <v>0</v>
      </c>
      <c r="C756" s="4">
        <v>42199.929799999998</v>
      </c>
      <c r="D756" s="5">
        <v>48957.990700000002</v>
      </c>
    </row>
    <row r="757" spans="1:4" s="1" customFormat="1" ht="19.75" customHeight="1" x14ac:dyDescent="0.25">
      <c r="A757" s="8">
        <f>2017</f>
        <v>2017</v>
      </c>
      <c r="B757" s="3" t="s">
        <v>1</v>
      </c>
      <c r="C757" s="6">
        <v>39290.852299999999</v>
      </c>
      <c r="D757" s="7">
        <v>46063.182699999998</v>
      </c>
    </row>
    <row r="758" spans="1:4" s="1" customFormat="1" ht="19.75" customHeight="1" x14ac:dyDescent="0.25">
      <c r="A758" s="8">
        <f>2017</f>
        <v>2017</v>
      </c>
      <c r="B758" s="3" t="s">
        <v>2</v>
      </c>
      <c r="C758" s="4">
        <v>12061.959699999999</v>
      </c>
      <c r="D758" s="5">
        <v>13570.034299999999</v>
      </c>
    </row>
    <row r="759" spans="1:4" s="1" customFormat="1" ht="19.75" customHeight="1" x14ac:dyDescent="0.25">
      <c r="A759" s="8">
        <f>2017</f>
        <v>2017</v>
      </c>
      <c r="B759" s="3" t="s">
        <v>117</v>
      </c>
      <c r="C759" s="6">
        <v>155.83850000000001</v>
      </c>
      <c r="D759" s="7">
        <v>174.36170000000001</v>
      </c>
    </row>
    <row r="760" spans="1:4" s="1" customFormat="1" ht="19.75" customHeight="1" x14ac:dyDescent="0.25">
      <c r="A760" s="8">
        <f>2017</f>
        <v>2017</v>
      </c>
      <c r="B760" s="3" t="s">
        <v>3</v>
      </c>
      <c r="C760" s="4">
        <v>41387.644899999999</v>
      </c>
      <c r="D760" s="5">
        <v>48942.043400000002</v>
      </c>
    </row>
    <row r="761" spans="1:4" s="1" customFormat="1" ht="19.75" customHeight="1" x14ac:dyDescent="0.25">
      <c r="A761" s="8">
        <f>2017</f>
        <v>2017</v>
      </c>
      <c r="B761" s="3" t="s">
        <v>4</v>
      </c>
      <c r="C761" s="6">
        <v>24661.408299999999</v>
      </c>
      <c r="D761" s="7">
        <v>27537.052299999999</v>
      </c>
    </row>
    <row r="762" spans="1:4" s="1" customFormat="1" ht="19.75" customHeight="1" x14ac:dyDescent="0.25">
      <c r="A762" s="8">
        <f>2017</f>
        <v>2017</v>
      </c>
      <c r="B762" s="3" t="s">
        <v>102</v>
      </c>
      <c r="C762" s="4">
        <v>19471.471799999999</v>
      </c>
      <c r="D762" s="5">
        <v>22561.780500000001</v>
      </c>
    </row>
    <row r="763" spans="1:4" s="1" customFormat="1" ht="19.75" customHeight="1" x14ac:dyDescent="0.25">
      <c r="A763" s="8">
        <f>2017</f>
        <v>2017</v>
      </c>
      <c r="B763" s="3" t="s">
        <v>108</v>
      </c>
      <c r="C763" s="6">
        <v>10181.6729</v>
      </c>
      <c r="D763" s="7">
        <v>11433.071400000001</v>
      </c>
    </row>
    <row r="764" spans="1:4" s="1" customFormat="1" ht="19.75" customHeight="1" x14ac:dyDescent="0.25">
      <c r="A764" s="8">
        <f>2017</f>
        <v>2017</v>
      </c>
      <c r="B764" s="3" t="s">
        <v>21</v>
      </c>
      <c r="C764" s="4">
        <v>27791.367300000002</v>
      </c>
      <c r="D764" s="5">
        <v>31799.201700000001</v>
      </c>
    </row>
    <row r="765" spans="1:4" s="1" customFormat="1" ht="19.75" customHeight="1" x14ac:dyDescent="0.25">
      <c r="A765" s="8">
        <f>2017</f>
        <v>2017</v>
      </c>
      <c r="B765" s="3" t="s">
        <v>5</v>
      </c>
      <c r="C765" s="6">
        <v>16039.745500000001</v>
      </c>
      <c r="D765" s="7">
        <v>18251.117099999999</v>
      </c>
    </row>
    <row r="766" spans="1:4" s="1" customFormat="1" ht="19.75" customHeight="1" x14ac:dyDescent="0.25">
      <c r="A766" s="8">
        <f>2017</f>
        <v>2017</v>
      </c>
      <c r="B766" s="3" t="s">
        <v>6</v>
      </c>
      <c r="C766" s="4">
        <v>19718.598900000001</v>
      </c>
      <c r="D766" s="5">
        <v>23091.234199999999</v>
      </c>
    </row>
    <row r="767" spans="1:4" s="1" customFormat="1" ht="19.75" customHeight="1" x14ac:dyDescent="0.25">
      <c r="A767" s="8">
        <f>2017</f>
        <v>2017</v>
      </c>
      <c r="B767" s="3" t="s">
        <v>103</v>
      </c>
      <c r="C767" s="6">
        <v>18422.325199999999</v>
      </c>
      <c r="D767" s="7">
        <v>21187.845600000001</v>
      </c>
    </row>
    <row r="768" spans="1:4" s="1" customFormat="1" ht="19.75" customHeight="1" x14ac:dyDescent="0.25">
      <c r="A768" s="8">
        <f>2017</f>
        <v>2017</v>
      </c>
      <c r="B768" s="3" t="s">
        <v>7</v>
      </c>
      <c r="C768" s="4">
        <v>8172.8719000000001</v>
      </c>
      <c r="D768" s="5">
        <v>8750.9701000000005</v>
      </c>
    </row>
    <row r="769" spans="1:4" s="1" customFormat="1" ht="19.75" customHeight="1" x14ac:dyDescent="0.25">
      <c r="A769" s="8">
        <f>2017</f>
        <v>2017</v>
      </c>
      <c r="B769" s="3" t="s">
        <v>8</v>
      </c>
      <c r="C769" s="6">
        <v>47275.992400000003</v>
      </c>
      <c r="D769" s="7">
        <v>56227.364699999998</v>
      </c>
    </row>
    <row r="770" spans="1:4" s="1" customFormat="1" ht="19.75" customHeight="1" x14ac:dyDescent="0.25">
      <c r="A770" s="8">
        <f>2017</f>
        <v>2017</v>
      </c>
      <c r="B770" s="3" t="s">
        <v>104</v>
      </c>
      <c r="C770" s="4">
        <v>23003.787100000001</v>
      </c>
      <c r="D770" s="5">
        <v>26461.180899999999</v>
      </c>
    </row>
    <row r="771" spans="1:4" s="1" customFormat="1" ht="19.75" customHeight="1" x14ac:dyDescent="0.25">
      <c r="A771" s="8">
        <f>2017</f>
        <v>2017</v>
      </c>
      <c r="B771" s="3" t="s">
        <v>10</v>
      </c>
      <c r="C771" s="6">
        <v>16325.799300000001</v>
      </c>
      <c r="D771" s="7">
        <v>18440.290199999999</v>
      </c>
    </row>
    <row r="772" spans="1:4" s="1" customFormat="1" ht="19.75" customHeight="1" x14ac:dyDescent="0.25">
      <c r="A772" s="8">
        <f>2017</f>
        <v>2017</v>
      </c>
      <c r="B772" s="3" t="s">
        <v>11</v>
      </c>
      <c r="C772" s="4">
        <v>32659.980100000001</v>
      </c>
      <c r="D772" s="5">
        <v>37624.578999999998</v>
      </c>
    </row>
    <row r="773" spans="1:4" s="1" customFormat="1" ht="19.75" customHeight="1" x14ac:dyDescent="0.25">
      <c r="A773" s="8">
        <f>2017</f>
        <v>2017</v>
      </c>
      <c r="B773" s="3" t="s">
        <v>105</v>
      </c>
      <c r="C773" s="6">
        <v>9427.9118999999992</v>
      </c>
      <c r="D773" s="7">
        <v>11614.5303</v>
      </c>
    </row>
    <row r="774" spans="1:4" s="1" customFormat="1" ht="19.75" customHeight="1" x14ac:dyDescent="0.25">
      <c r="A774" s="8">
        <f>2017</f>
        <v>2017</v>
      </c>
      <c r="B774" s="3" t="s">
        <v>109</v>
      </c>
      <c r="C774" s="4">
        <v>12379.458500000001</v>
      </c>
      <c r="D774" s="5">
        <v>14030.7212</v>
      </c>
    </row>
    <row r="775" spans="1:4" s="1" customFormat="1" ht="19.75" customHeight="1" x14ac:dyDescent="0.25">
      <c r="A775" s="8">
        <f>2017</f>
        <v>2017</v>
      </c>
      <c r="B775" s="3" t="s">
        <v>12</v>
      </c>
      <c r="C775" s="6">
        <v>44542.157899999998</v>
      </c>
      <c r="D775" s="7">
        <v>56233.4686</v>
      </c>
    </row>
    <row r="776" spans="1:4" s="1" customFormat="1" ht="19.75" customHeight="1" x14ac:dyDescent="0.25">
      <c r="A776" s="8">
        <f>2017</f>
        <v>2017</v>
      </c>
      <c r="B776" s="3" t="s">
        <v>13</v>
      </c>
      <c r="C776" s="4">
        <v>3908.7091999999998</v>
      </c>
      <c r="D776" s="5">
        <v>4320.1225999999997</v>
      </c>
    </row>
    <row r="777" spans="1:4" s="1" customFormat="1" ht="19.75" customHeight="1" x14ac:dyDescent="0.25">
      <c r="A777" s="8">
        <f>2017</f>
        <v>2017</v>
      </c>
      <c r="B777" s="3" t="s">
        <v>14</v>
      </c>
      <c r="C777" s="6">
        <v>3173.7873</v>
      </c>
      <c r="D777" s="7">
        <v>3657.7339999999999</v>
      </c>
    </row>
    <row r="778" spans="1:4" s="1" customFormat="1" ht="19.75" customHeight="1" x14ac:dyDescent="0.25">
      <c r="A778" s="8">
        <f>2017</f>
        <v>2017</v>
      </c>
      <c r="B778" s="3" t="s">
        <v>15</v>
      </c>
      <c r="C778" s="4">
        <v>1336.2949000000001</v>
      </c>
      <c r="D778" s="5">
        <v>1617.4962</v>
      </c>
    </row>
    <row r="779" spans="1:4" s="1" customFormat="1" ht="19.75" customHeight="1" x14ac:dyDescent="0.25">
      <c r="A779" s="8">
        <f>2017</f>
        <v>2017</v>
      </c>
      <c r="B779" s="3" t="s">
        <v>16</v>
      </c>
      <c r="C779" s="6">
        <v>2076.1459</v>
      </c>
      <c r="D779" s="7">
        <v>2324.9944</v>
      </c>
    </row>
    <row r="780" spans="1:4" s="1" customFormat="1" ht="19.75" customHeight="1" x14ac:dyDescent="0.25">
      <c r="A780" s="8">
        <f>2017</f>
        <v>2017</v>
      </c>
      <c r="B780" s="3" t="s">
        <v>17</v>
      </c>
      <c r="C780" s="4">
        <v>1089.0556999999999</v>
      </c>
      <c r="D780" s="5">
        <v>1200.0745999999999</v>
      </c>
    </row>
    <row r="781" spans="1:4" s="1" customFormat="1" ht="19.75" customHeight="1" x14ac:dyDescent="0.25">
      <c r="A781" s="8">
        <f>2017</f>
        <v>2017</v>
      </c>
      <c r="B781" s="3" t="s">
        <v>18</v>
      </c>
      <c r="C781" s="6">
        <v>8677.3835999999992</v>
      </c>
      <c r="D781" s="7">
        <v>9759.1903000000002</v>
      </c>
    </row>
    <row r="782" spans="1:4" s="1" customFormat="1" ht="19.75" customHeight="1" x14ac:dyDescent="0.25">
      <c r="A782" s="8">
        <f>2017</f>
        <v>2017</v>
      </c>
      <c r="B782" s="3" t="s">
        <v>19</v>
      </c>
      <c r="C782" s="4">
        <v>69305.957800000004</v>
      </c>
      <c r="D782" s="5">
        <v>81602.4568</v>
      </c>
    </row>
    <row r="783" spans="1:4" s="1" customFormat="1" ht="19.75" customHeight="1" x14ac:dyDescent="0.25">
      <c r="A783" s="8">
        <f>2017</f>
        <v>2017</v>
      </c>
      <c r="B783" s="3" t="s">
        <v>20</v>
      </c>
      <c r="C783" s="6">
        <v>54156.279300000002</v>
      </c>
      <c r="D783" s="7">
        <v>73660.762400000007</v>
      </c>
    </row>
    <row r="784" spans="1:4" s="1" customFormat="1" ht="19.75" customHeight="1" x14ac:dyDescent="0.25">
      <c r="A784" s="8">
        <f>2017</f>
        <v>2017</v>
      </c>
      <c r="B784" s="3" t="s">
        <v>111</v>
      </c>
      <c r="C784" s="4">
        <v>8532.7145</v>
      </c>
      <c r="D784" s="5">
        <v>9545.8300999999992</v>
      </c>
    </row>
    <row r="785" spans="1:4" s="1" customFormat="1" ht="19.75" customHeight="1" x14ac:dyDescent="0.25">
      <c r="A785" s="8">
        <f>2017</f>
        <v>2017</v>
      </c>
      <c r="B785" s="3" t="s">
        <v>23</v>
      </c>
      <c r="C785" s="6">
        <v>14405.6703</v>
      </c>
      <c r="D785" s="7">
        <v>18577.162499999999</v>
      </c>
    </row>
    <row r="786" spans="1:4" s="1" customFormat="1" ht="19.75" customHeight="1" x14ac:dyDescent="0.25">
      <c r="A786" s="8">
        <f>2017</f>
        <v>2017</v>
      </c>
      <c r="B786" s="3" t="s">
        <v>24</v>
      </c>
      <c r="C786" s="4">
        <v>6685.8001999999997</v>
      </c>
      <c r="D786" s="5">
        <v>7178.6562000000004</v>
      </c>
    </row>
    <row r="787" spans="1:4" s="1" customFormat="1" ht="19.75" customHeight="1" x14ac:dyDescent="0.25">
      <c r="A787" s="8">
        <f>2017</f>
        <v>2017</v>
      </c>
      <c r="B787" s="3" t="s">
        <v>25</v>
      </c>
      <c r="C787" s="6">
        <v>5185.4007000000001</v>
      </c>
      <c r="D787" s="7">
        <v>5994.7392</v>
      </c>
    </row>
    <row r="788" spans="1:4" s="1" customFormat="1" ht="19.75" customHeight="1" x14ac:dyDescent="0.25">
      <c r="A788" s="8">
        <f>2017</f>
        <v>2017</v>
      </c>
      <c r="B788" s="3" t="s">
        <v>26</v>
      </c>
      <c r="C788" s="4">
        <v>5622.3518999999997</v>
      </c>
      <c r="D788" s="5">
        <v>6404.5671000000002</v>
      </c>
    </row>
    <row r="789" spans="1:4" s="1" customFormat="1" ht="19.75" customHeight="1" x14ac:dyDescent="0.25">
      <c r="A789" s="8">
        <f>2017</f>
        <v>2017</v>
      </c>
      <c r="B789" s="3" t="s">
        <v>27</v>
      </c>
      <c r="C789" s="6">
        <v>17698.9329</v>
      </c>
      <c r="D789" s="7">
        <v>21176.0913</v>
      </c>
    </row>
    <row r="790" spans="1:4" s="1" customFormat="1" ht="19.75" customHeight="1" x14ac:dyDescent="0.25">
      <c r="A790" s="8">
        <f>2017</f>
        <v>2017</v>
      </c>
      <c r="B790" s="3" t="s">
        <v>106</v>
      </c>
      <c r="C790" s="4">
        <v>2846.6574999999998</v>
      </c>
      <c r="D790" s="5">
        <v>3349.4252999999999</v>
      </c>
    </row>
    <row r="791" spans="1:4" s="1" customFormat="1" ht="19.75" customHeight="1" x14ac:dyDescent="0.25">
      <c r="A791" s="8">
        <f>2017</f>
        <v>2017</v>
      </c>
      <c r="B791" s="3" t="s">
        <v>28</v>
      </c>
      <c r="C791" s="6">
        <v>559.65179999999998</v>
      </c>
      <c r="D791" s="7">
        <v>612.09270000000004</v>
      </c>
    </row>
    <row r="792" spans="1:4" s="1" customFormat="1" ht="19.75" customHeight="1" x14ac:dyDescent="0.25">
      <c r="A792" s="8">
        <f>2017</f>
        <v>2017</v>
      </c>
      <c r="B792" s="3" t="s">
        <v>29</v>
      </c>
      <c r="C792" s="4">
        <v>3713.1585</v>
      </c>
      <c r="D792" s="5">
        <v>4468.6211999999996</v>
      </c>
    </row>
    <row r="793" spans="1:4" s="1" customFormat="1" ht="19.75" customHeight="1" x14ac:dyDescent="0.25">
      <c r="A793" s="8">
        <f>2017</f>
        <v>2017</v>
      </c>
      <c r="B793" s="3" t="s">
        <v>30</v>
      </c>
      <c r="C793" s="6">
        <v>5847.0837000000001</v>
      </c>
      <c r="D793" s="7">
        <v>6562.6485000000002</v>
      </c>
    </row>
    <row r="794" spans="1:4" s="1" customFormat="1" ht="19.75" customHeight="1" x14ac:dyDescent="0.25">
      <c r="A794" s="8">
        <f>2017</f>
        <v>2017</v>
      </c>
      <c r="B794" s="3" t="s">
        <v>31</v>
      </c>
      <c r="C794" s="4">
        <v>3380.9605000000001</v>
      </c>
      <c r="D794" s="5">
        <v>3811.4686000000002</v>
      </c>
    </row>
    <row r="795" spans="1:4" s="1" customFormat="1" ht="19.75" customHeight="1" x14ac:dyDescent="0.25">
      <c r="A795" s="8">
        <f>2017</f>
        <v>2017</v>
      </c>
      <c r="B795" s="3" t="s">
        <v>32</v>
      </c>
      <c r="C795" s="6">
        <v>16424.643700000001</v>
      </c>
      <c r="D795" s="7">
        <v>20581.400600000001</v>
      </c>
    </row>
    <row r="796" spans="1:4" s="1" customFormat="1" ht="19.75" customHeight="1" x14ac:dyDescent="0.25">
      <c r="A796" s="8">
        <f>2017</f>
        <v>2017</v>
      </c>
      <c r="B796" s="3" t="s">
        <v>92</v>
      </c>
      <c r="C796" s="4">
        <v>7.4238999999999997</v>
      </c>
      <c r="D796" s="5">
        <v>35.741300000000003</v>
      </c>
    </row>
    <row r="797" spans="1:4" s="1" customFormat="1" ht="19.75" customHeight="1" x14ac:dyDescent="0.25">
      <c r="A797" s="8">
        <f>2017</f>
        <v>2017</v>
      </c>
      <c r="B797" s="3" t="s">
        <v>97</v>
      </c>
      <c r="C797" s="6">
        <v>198.24420000000001</v>
      </c>
      <c r="D797" s="7">
        <v>224.7886</v>
      </c>
    </row>
    <row r="798" spans="1:4" s="1" customFormat="1" ht="19.75" customHeight="1" x14ac:dyDescent="0.25">
      <c r="A798" s="8">
        <f>2017</f>
        <v>2017</v>
      </c>
      <c r="B798" s="3" t="s">
        <v>34</v>
      </c>
      <c r="C798" s="4">
        <v>272.79700000000003</v>
      </c>
      <c r="D798" s="5">
        <v>1354.4327000000001</v>
      </c>
    </row>
    <row r="799" spans="1:4" s="1" customFormat="1" ht="30.4" customHeight="1" x14ac:dyDescent="0.25">
      <c r="A799" s="8">
        <f>2017</f>
        <v>2017</v>
      </c>
      <c r="B799" s="3" t="s">
        <v>35</v>
      </c>
      <c r="C799" s="6">
        <v>245.5129</v>
      </c>
      <c r="D799" s="7">
        <v>382.3426</v>
      </c>
    </row>
    <row r="800" spans="1:4" s="1" customFormat="1" ht="19.75" customHeight="1" x14ac:dyDescent="0.25">
      <c r="A800" s="8">
        <f>2017</f>
        <v>2017</v>
      </c>
      <c r="B800" s="3" t="s">
        <v>36</v>
      </c>
      <c r="C800" s="4">
        <v>1825.3481999999999</v>
      </c>
      <c r="D800" s="5">
        <v>2781.4879999999998</v>
      </c>
    </row>
    <row r="801" spans="1:4" s="1" customFormat="1" ht="19.75" customHeight="1" x14ac:dyDescent="0.25">
      <c r="A801" s="8">
        <f>2017</f>
        <v>2017</v>
      </c>
      <c r="B801" s="3" t="s">
        <v>37</v>
      </c>
      <c r="C801" s="6">
        <v>127.1292</v>
      </c>
      <c r="D801" s="7">
        <v>151.24799999999999</v>
      </c>
    </row>
    <row r="802" spans="1:4" s="1" customFormat="1" ht="19.75" customHeight="1" x14ac:dyDescent="0.25">
      <c r="A802" s="8">
        <f>2017</f>
        <v>2017</v>
      </c>
      <c r="B802" s="3" t="s">
        <v>38</v>
      </c>
      <c r="C802" s="4">
        <v>36.107399999999998</v>
      </c>
      <c r="D802" s="5">
        <v>43.783299999999997</v>
      </c>
    </row>
    <row r="803" spans="1:4" s="1" customFormat="1" ht="19.75" customHeight="1" x14ac:dyDescent="0.25">
      <c r="A803" s="8">
        <f>2017</f>
        <v>2017</v>
      </c>
      <c r="B803" s="3" t="s">
        <v>40</v>
      </c>
      <c r="C803" s="6">
        <v>470.2242</v>
      </c>
      <c r="D803" s="7">
        <v>585.1617</v>
      </c>
    </row>
    <row r="804" spans="1:4" s="1" customFormat="1" ht="19.75" customHeight="1" x14ac:dyDescent="0.25">
      <c r="A804" s="8">
        <f>2017</f>
        <v>2017</v>
      </c>
      <c r="B804" s="3" t="s">
        <v>41</v>
      </c>
      <c r="C804" s="4">
        <v>1609.4039</v>
      </c>
      <c r="D804" s="5">
        <v>2167.7006000000001</v>
      </c>
    </row>
    <row r="805" spans="1:4" s="1" customFormat="1" ht="19.75" customHeight="1" x14ac:dyDescent="0.25">
      <c r="A805" s="8">
        <f>2017</f>
        <v>2017</v>
      </c>
      <c r="B805" s="3" t="s">
        <v>42</v>
      </c>
      <c r="C805" s="6">
        <v>2335.4054000000001</v>
      </c>
      <c r="D805" s="7">
        <v>2642.8110000000001</v>
      </c>
    </row>
    <row r="806" spans="1:4" s="1" customFormat="1" ht="19.75" customHeight="1" x14ac:dyDescent="0.25">
      <c r="A806" s="8">
        <f>2017</f>
        <v>2017</v>
      </c>
      <c r="B806" s="3" t="s">
        <v>43</v>
      </c>
      <c r="C806" s="4">
        <v>10450.85</v>
      </c>
      <c r="D806" s="5">
        <v>14183.84</v>
      </c>
    </row>
    <row r="807" spans="1:4" s="1" customFormat="1" ht="19.75" customHeight="1" x14ac:dyDescent="0.25">
      <c r="A807" s="8">
        <f>2017</f>
        <v>2017</v>
      </c>
      <c r="B807" s="3" t="s">
        <v>118</v>
      </c>
      <c r="C807" s="6">
        <v>17.729600000000001</v>
      </c>
      <c r="D807" s="7">
        <v>17.216000000000001</v>
      </c>
    </row>
    <row r="808" spans="1:4" s="1" customFormat="1" ht="19.75" customHeight="1" x14ac:dyDescent="0.25">
      <c r="A808" s="8">
        <f>2017</f>
        <v>2017</v>
      </c>
      <c r="B808" s="3" t="s">
        <v>44</v>
      </c>
      <c r="C808" s="4">
        <v>227.01820000000001</v>
      </c>
      <c r="D808" s="5">
        <v>266.26369999999997</v>
      </c>
    </row>
    <row r="809" spans="1:4" s="1" customFormat="1" ht="19.75" customHeight="1" x14ac:dyDescent="0.25">
      <c r="A809" s="8">
        <f>2017</f>
        <v>2017</v>
      </c>
      <c r="B809" s="3" t="s">
        <v>45</v>
      </c>
      <c r="C809" s="6">
        <v>429.22719999999998</v>
      </c>
      <c r="D809" s="7">
        <v>491.68939999999998</v>
      </c>
    </row>
    <row r="810" spans="1:4" s="1" customFormat="1" ht="19.75" customHeight="1" x14ac:dyDescent="0.25">
      <c r="A810" s="8">
        <f>2017</f>
        <v>2017</v>
      </c>
      <c r="B810" s="3" t="s">
        <v>93</v>
      </c>
      <c r="C810" s="4">
        <v>555.6472</v>
      </c>
      <c r="D810" s="5">
        <v>816.23090000000002</v>
      </c>
    </row>
    <row r="811" spans="1:4" s="1" customFormat="1" ht="19.75" customHeight="1" x14ac:dyDescent="0.25">
      <c r="A811" s="8">
        <f>2017</f>
        <v>2017</v>
      </c>
      <c r="B811" s="3" t="s">
        <v>46</v>
      </c>
      <c r="C811" s="6">
        <v>60.9878</v>
      </c>
      <c r="D811" s="7">
        <v>69.048400000000001</v>
      </c>
    </row>
    <row r="812" spans="1:4" s="1" customFormat="1" ht="19.75" customHeight="1" x14ac:dyDescent="0.25">
      <c r="A812" s="8">
        <f>2017</f>
        <v>2017</v>
      </c>
      <c r="B812" s="3" t="s">
        <v>47</v>
      </c>
      <c r="C812" s="4">
        <v>2577.9290999999998</v>
      </c>
      <c r="D812" s="5">
        <v>3200.5981999999999</v>
      </c>
    </row>
    <row r="813" spans="1:4" s="1" customFormat="1" ht="19.75" customHeight="1" x14ac:dyDescent="0.25">
      <c r="A813" s="8">
        <f>2017</f>
        <v>2017</v>
      </c>
      <c r="B813" s="3" t="s">
        <v>48</v>
      </c>
      <c r="C813" s="6">
        <v>5000.9041999999999</v>
      </c>
      <c r="D813" s="7">
        <v>6122.6629999999996</v>
      </c>
    </row>
    <row r="814" spans="1:4" s="1" customFormat="1" ht="19.75" customHeight="1" x14ac:dyDescent="0.25">
      <c r="A814" s="8">
        <f>2017</f>
        <v>2017</v>
      </c>
      <c r="B814" s="3" t="s">
        <v>49</v>
      </c>
      <c r="C814" s="4">
        <v>80.679400000000001</v>
      </c>
      <c r="D814" s="5">
        <v>86.133700000000005</v>
      </c>
    </row>
    <row r="815" spans="1:4" s="1" customFormat="1" ht="19.75" customHeight="1" x14ac:dyDescent="0.25">
      <c r="A815" s="8">
        <f>2017</f>
        <v>2017</v>
      </c>
      <c r="B815" s="3" t="s">
        <v>51</v>
      </c>
      <c r="C815" s="6">
        <v>23.9208</v>
      </c>
      <c r="D815" s="7">
        <v>48.3461</v>
      </c>
    </row>
    <row r="816" spans="1:4" s="1" customFormat="1" ht="19.75" customHeight="1" x14ac:dyDescent="0.25">
      <c r="A816" s="8">
        <f>2017</f>
        <v>2017</v>
      </c>
      <c r="B816" s="3" t="s">
        <v>52</v>
      </c>
      <c r="C816" s="4">
        <v>137.1926</v>
      </c>
      <c r="D816" s="5">
        <v>189.6378</v>
      </c>
    </row>
    <row r="817" spans="1:4" s="1" customFormat="1" ht="19.75" customHeight="1" x14ac:dyDescent="0.25">
      <c r="A817" s="8">
        <f>2017</f>
        <v>2017</v>
      </c>
      <c r="B817" s="3" t="s">
        <v>98</v>
      </c>
      <c r="C817" s="6">
        <v>8791.8397000000004</v>
      </c>
      <c r="D817" s="7">
        <v>11064.7786</v>
      </c>
    </row>
    <row r="818" spans="1:4" s="1" customFormat="1" ht="19.75" customHeight="1" x14ac:dyDescent="0.25">
      <c r="A818" s="8">
        <f>2017</f>
        <v>2017</v>
      </c>
      <c r="B818" s="3" t="s">
        <v>53</v>
      </c>
      <c r="C818" s="4">
        <v>107.0147</v>
      </c>
      <c r="D818" s="5">
        <v>146.97929999999999</v>
      </c>
    </row>
    <row r="819" spans="1:4" s="1" customFormat="1" ht="19.75" customHeight="1" x14ac:dyDescent="0.25">
      <c r="A819" s="8">
        <f>2017</f>
        <v>2017</v>
      </c>
      <c r="B819" s="3" t="s">
        <v>54</v>
      </c>
      <c r="C819" s="6">
        <v>18.175000000000001</v>
      </c>
      <c r="D819" s="7">
        <v>22.398499999999999</v>
      </c>
    </row>
    <row r="820" spans="1:4" s="1" customFormat="1" ht="19.75" customHeight="1" x14ac:dyDescent="0.25">
      <c r="A820" s="8">
        <f>2017</f>
        <v>2017</v>
      </c>
      <c r="B820" s="3" t="s">
        <v>55</v>
      </c>
      <c r="C820" s="4">
        <v>1794.86</v>
      </c>
      <c r="D820" s="5">
        <v>2787.9938999999999</v>
      </c>
    </row>
    <row r="821" spans="1:4" s="1" customFormat="1" ht="19.75" customHeight="1" x14ac:dyDescent="0.25">
      <c r="A821" s="8">
        <f>2017</f>
        <v>2017</v>
      </c>
      <c r="B821" s="3" t="s">
        <v>56</v>
      </c>
      <c r="C821" s="6">
        <v>9.6876999999999995</v>
      </c>
      <c r="D821" s="7">
        <v>11.2454</v>
      </c>
    </row>
    <row r="822" spans="1:4" s="1" customFormat="1" ht="19.75" customHeight="1" x14ac:dyDescent="0.25">
      <c r="A822" s="8">
        <f>2017</f>
        <v>2017</v>
      </c>
      <c r="B822" s="3" t="s">
        <v>57</v>
      </c>
      <c r="C822" s="4">
        <v>39.646500000000003</v>
      </c>
      <c r="D822" s="5">
        <v>54.741999999999997</v>
      </c>
    </row>
    <row r="823" spans="1:4" s="1" customFormat="1" ht="19.75" customHeight="1" x14ac:dyDescent="0.25">
      <c r="A823" s="8">
        <f>2017</f>
        <v>2017</v>
      </c>
      <c r="B823" s="3" t="s">
        <v>94</v>
      </c>
      <c r="C823" s="6">
        <v>28.447700000000001</v>
      </c>
      <c r="D823" s="7">
        <v>29.030799999999999</v>
      </c>
    </row>
    <row r="824" spans="1:4" s="1" customFormat="1" ht="19.75" customHeight="1" x14ac:dyDescent="0.25">
      <c r="A824" s="8">
        <f>2017</f>
        <v>2017</v>
      </c>
      <c r="B824" s="3" t="s">
        <v>59</v>
      </c>
      <c r="C824" s="4">
        <v>17.259599999999999</v>
      </c>
      <c r="D824" s="5">
        <v>45.4651</v>
      </c>
    </row>
    <row r="825" spans="1:4" s="1" customFormat="1" ht="19.75" customHeight="1" x14ac:dyDescent="0.25">
      <c r="A825" s="8">
        <f>2017</f>
        <v>2017</v>
      </c>
      <c r="B825" s="3" t="s">
        <v>60</v>
      </c>
      <c r="C825" s="6">
        <v>848.91790000000003</v>
      </c>
      <c r="D825" s="7">
        <v>920.75549999999998</v>
      </c>
    </row>
    <row r="826" spans="1:4" s="1" customFormat="1" ht="19.75" customHeight="1" x14ac:dyDescent="0.25">
      <c r="A826" s="8">
        <f>2017</f>
        <v>2017</v>
      </c>
      <c r="B826" s="3" t="s">
        <v>61</v>
      </c>
      <c r="C826" s="4">
        <v>1290.6570999999999</v>
      </c>
      <c r="D826" s="5">
        <v>1683.0166999999999</v>
      </c>
    </row>
    <row r="827" spans="1:4" s="1" customFormat="1" ht="19.75" customHeight="1" x14ac:dyDescent="0.25">
      <c r="A827" s="8">
        <f>2017</f>
        <v>2017</v>
      </c>
      <c r="B827" s="3" t="s">
        <v>110</v>
      </c>
      <c r="C827" s="6">
        <v>53.404299999999999</v>
      </c>
      <c r="D827" s="7">
        <v>58.377200000000002</v>
      </c>
    </row>
    <row r="828" spans="1:4" s="1" customFormat="1" ht="19.75" customHeight="1" x14ac:dyDescent="0.25">
      <c r="A828" s="8">
        <f>2017</f>
        <v>2017</v>
      </c>
      <c r="B828" s="3" t="s">
        <v>64</v>
      </c>
      <c r="C828" s="4">
        <v>21.616499999999998</v>
      </c>
      <c r="D828" s="5">
        <v>22.945799999999998</v>
      </c>
    </row>
    <row r="829" spans="1:4" s="1" customFormat="1" ht="19.75" customHeight="1" x14ac:dyDescent="0.25">
      <c r="A829" s="8">
        <f>2017</f>
        <v>2017</v>
      </c>
      <c r="B829" s="3" t="s">
        <v>66</v>
      </c>
      <c r="C829" s="6">
        <v>35.464700000000001</v>
      </c>
      <c r="D829" s="7">
        <v>45.6524</v>
      </c>
    </row>
    <row r="830" spans="1:4" s="1" customFormat="1" ht="19.75" customHeight="1" x14ac:dyDescent="0.25">
      <c r="A830" s="8">
        <f>2017</f>
        <v>2017</v>
      </c>
      <c r="B830" s="3" t="s">
        <v>67</v>
      </c>
      <c r="C830" s="4">
        <v>106.664</v>
      </c>
      <c r="D830" s="5">
        <v>118.1927</v>
      </c>
    </row>
    <row r="831" spans="1:4" s="1" customFormat="1" ht="19.75" customHeight="1" x14ac:dyDescent="0.25">
      <c r="A831" s="8">
        <f>2017</f>
        <v>2017</v>
      </c>
      <c r="B831" s="3" t="s">
        <v>68</v>
      </c>
      <c r="C831" s="6">
        <v>447.3519</v>
      </c>
      <c r="D831" s="7">
        <v>485.3032</v>
      </c>
    </row>
    <row r="832" spans="1:4" s="1" customFormat="1" ht="19.75" customHeight="1" x14ac:dyDescent="0.25">
      <c r="A832" s="8">
        <f>2017</f>
        <v>2017</v>
      </c>
      <c r="B832" s="3" t="s">
        <v>69</v>
      </c>
      <c r="C832" s="4">
        <v>307.5847</v>
      </c>
      <c r="D832" s="5">
        <v>361.15370000000001</v>
      </c>
    </row>
    <row r="833" spans="1:4" s="1" customFormat="1" ht="19.75" customHeight="1" x14ac:dyDescent="0.25">
      <c r="A833" s="8">
        <f>2017</f>
        <v>2017</v>
      </c>
      <c r="B833" s="3" t="s">
        <v>95</v>
      </c>
      <c r="C833" s="6">
        <v>3.2353000000000001</v>
      </c>
      <c r="D833" s="7">
        <v>12.599</v>
      </c>
    </row>
    <row r="834" spans="1:4" s="1" customFormat="1" ht="19.75" customHeight="1" x14ac:dyDescent="0.25">
      <c r="A834" s="8">
        <f>2017</f>
        <v>2017</v>
      </c>
      <c r="B834" s="3" t="s">
        <v>71</v>
      </c>
      <c r="C834" s="4">
        <v>9610.3295999999991</v>
      </c>
      <c r="D834" s="5">
        <v>12234.8377</v>
      </c>
    </row>
    <row r="835" spans="1:4" s="1" customFormat="1" ht="19.75" customHeight="1" x14ac:dyDescent="0.25">
      <c r="A835" s="8">
        <f>2017</f>
        <v>2017</v>
      </c>
      <c r="B835" s="3" t="s">
        <v>72</v>
      </c>
      <c r="C835" s="6">
        <v>754.18499999999995</v>
      </c>
      <c r="D835" s="7">
        <v>797.84780000000001</v>
      </c>
    </row>
    <row r="836" spans="1:4" s="1" customFormat="1" ht="19.75" customHeight="1" x14ac:dyDescent="0.25">
      <c r="A836" s="8">
        <f>2017</f>
        <v>2017</v>
      </c>
      <c r="B836" s="3" t="s">
        <v>99</v>
      </c>
      <c r="C836" s="4">
        <v>26.6511</v>
      </c>
      <c r="D836" s="5">
        <v>25.928699999999999</v>
      </c>
    </row>
    <row r="837" spans="1:4" s="1" customFormat="1" ht="19.75" customHeight="1" x14ac:dyDescent="0.25">
      <c r="A837" s="8">
        <f>2017</f>
        <v>2017</v>
      </c>
      <c r="B837" s="3" t="s">
        <v>75</v>
      </c>
      <c r="C837" s="6">
        <v>92.560199999999995</v>
      </c>
      <c r="D837" s="7">
        <v>104.7514</v>
      </c>
    </row>
    <row r="838" spans="1:4" s="1" customFormat="1" ht="19.75" customHeight="1" x14ac:dyDescent="0.25">
      <c r="A838" s="8">
        <f>2017</f>
        <v>2017</v>
      </c>
      <c r="B838" s="3" t="s">
        <v>107</v>
      </c>
      <c r="C838" s="4">
        <v>209.80160000000001</v>
      </c>
      <c r="D838" s="5">
        <v>205.82089999999999</v>
      </c>
    </row>
    <row r="839" spans="1:4" s="1" customFormat="1" ht="19.75" customHeight="1" x14ac:dyDescent="0.25">
      <c r="A839" s="8">
        <f>2017</f>
        <v>2017</v>
      </c>
      <c r="B839" s="3" t="s">
        <v>76</v>
      </c>
      <c r="C839" s="6">
        <v>76.808899999999994</v>
      </c>
      <c r="D839" s="7">
        <v>81.707899999999995</v>
      </c>
    </row>
    <row r="840" spans="1:4" s="1" customFormat="1" ht="19.75" customHeight="1" x14ac:dyDescent="0.25">
      <c r="A840" s="8">
        <f>2017</f>
        <v>2017</v>
      </c>
      <c r="B840" s="3" t="s">
        <v>78</v>
      </c>
      <c r="C840" s="4">
        <v>223.68960000000001</v>
      </c>
      <c r="D840" s="5">
        <v>243.58019999999999</v>
      </c>
    </row>
    <row r="841" spans="1:4" s="1" customFormat="1" ht="19.75" customHeight="1" x14ac:dyDescent="0.25">
      <c r="A841" s="8">
        <f>2017</f>
        <v>2017</v>
      </c>
      <c r="B841" s="3" t="s">
        <v>79</v>
      </c>
      <c r="C841" s="6">
        <v>981.05340000000001</v>
      </c>
      <c r="D841" s="7">
        <v>1214.2808</v>
      </c>
    </row>
    <row r="842" spans="1:4" s="1" customFormat="1" ht="19.75" customHeight="1" x14ac:dyDescent="0.25">
      <c r="A842" s="8">
        <f>2016</f>
        <v>2016</v>
      </c>
      <c r="B842" s="3" t="s">
        <v>112</v>
      </c>
      <c r="C842" s="4">
        <v>9592.4727999999996</v>
      </c>
      <c r="D842" s="5">
        <v>10649.522000000001</v>
      </c>
    </row>
    <row r="843" spans="1:4" s="1" customFormat="1" ht="19.75" customHeight="1" x14ac:dyDescent="0.25">
      <c r="A843" s="8">
        <f>2016</f>
        <v>2016</v>
      </c>
      <c r="B843" s="3" t="s">
        <v>113</v>
      </c>
      <c r="C843" s="6">
        <v>14187.2066</v>
      </c>
      <c r="D843" s="7">
        <v>15632.782999999999</v>
      </c>
    </row>
    <row r="844" spans="1:4" s="1" customFormat="1" ht="19.75" customHeight="1" x14ac:dyDescent="0.25">
      <c r="A844" s="8">
        <f>2016</f>
        <v>2016</v>
      </c>
      <c r="B844" s="3" t="s">
        <v>9</v>
      </c>
      <c r="C844" s="4">
        <v>163998.29749999999</v>
      </c>
      <c r="D844" s="5">
        <v>191843.66620000001</v>
      </c>
    </row>
    <row r="845" spans="1:4" s="1" customFormat="1" ht="19.75" customHeight="1" x14ac:dyDescent="0.25">
      <c r="A845" s="8">
        <f>2016</f>
        <v>2016</v>
      </c>
      <c r="B845" s="3" t="s">
        <v>114</v>
      </c>
      <c r="C845" s="6">
        <v>7127.7658000000001</v>
      </c>
      <c r="D845" s="7">
        <v>7939.7784000000001</v>
      </c>
    </row>
    <row r="846" spans="1:4" s="1" customFormat="1" ht="19.75" customHeight="1" x14ac:dyDescent="0.25">
      <c r="A846" s="8">
        <f>2016</f>
        <v>2016</v>
      </c>
      <c r="B846" s="3" t="s">
        <v>115</v>
      </c>
      <c r="C846" s="4">
        <v>10457.099399999999</v>
      </c>
      <c r="D846" s="5">
        <v>11578.460999999999</v>
      </c>
    </row>
    <row r="847" spans="1:4" s="1" customFormat="1" ht="19.75" customHeight="1" x14ac:dyDescent="0.25">
      <c r="A847" s="8">
        <f>2016</f>
        <v>2016</v>
      </c>
      <c r="B847" s="3" t="s">
        <v>116</v>
      </c>
      <c r="C847" s="6">
        <v>9608.8790000000008</v>
      </c>
      <c r="D847" s="7">
        <v>10757.067499999999</v>
      </c>
    </row>
    <row r="848" spans="1:4" s="1" customFormat="1" ht="19.75" customHeight="1" x14ac:dyDescent="0.25">
      <c r="A848" s="8">
        <f>2016</f>
        <v>2016</v>
      </c>
      <c r="B848" s="3" t="s">
        <v>100</v>
      </c>
      <c r="C848" s="4">
        <v>18884.945500000002</v>
      </c>
      <c r="D848" s="5">
        <v>20795.072</v>
      </c>
    </row>
    <row r="849" spans="1:4" s="1" customFormat="1" ht="19.75" customHeight="1" x14ac:dyDescent="0.25">
      <c r="A849" s="8">
        <f>2016</f>
        <v>2016</v>
      </c>
      <c r="B849" s="3" t="s">
        <v>101</v>
      </c>
      <c r="C849" s="6">
        <v>17634.675200000001</v>
      </c>
      <c r="D849" s="7">
        <v>19199.149700000002</v>
      </c>
    </row>
    <row r="850" spans="1:4" s="1" customFormat="1" ht="19.75" customHeight="1" x14ac:dyDescent="0.25">
      <c r="A850" s="8">
        <f>2016</f>
        <v>2016</v>
      </c>
      <c r="B850" s="3" t="s">
        <v>0</v>
      </c>
      <c r="C850" s="4">
        <v>44061.277399999999</v>
      </c>
      <c r="D850" s="5">
        <v>49060.139000000003</v>
      </c>
    </row>
    <row r="851" spans="1:4" s="1" customFormat="1" ht="19.75" customHeight="1" x14ac:dyDescent="0.25">
      <c r="A851" s="8">
        <f>2016</f>
        <v>2016</v>
      </c>
      <c r="B851" s="3" t="s">
        <v>1</v>
      </c>
      <c r="C851" s="6">
        <v>41796.469799999999</v>
      </c>
      <c r="D851" s="7">
        <v>45449.008699999998</v>
      </c>
    </row>
    <row r="852" spans="1:4" s="1" customFormat="1" ht="19.75" customHeight="1" x14ac:dyDescent="0.25">
      <c r="A852" s="8">
        <f>2016</f>
        <v>2016</v>
      </c>
      <c r="B852" s="3" t="s">
        <v>2</v>
      </c>
      <c r="C852" s="4">
        <v>13052.985699999999</v>
      </c>
      <c r="D852" s="5">
        <v>14072.2754</v>
      </c>
    </row>
    <row r="853" spans="1:4" s="1" customFormat="1" ht="19.75" customHeight="1" x14ac:dyDescent="0.25">
      <c r="A853" s="8">
        <f>2016</f>
        <v>2016</v>
      </c>
      <c r="B853" s="3" t="s">
        <v>117</v>
      </c>
      <c r="C853" s="6">
        <v>155.84620000000001</v>
      </c>
      <c r="D853" s="7">
        <v>171.60509999999999</v>
      </c>
    </row>
    <row r="854" spans="1:4" s="1" customFormat="1" ht="19.75" customHeight="1" x14ac:dyDescent="0.25">
      <c r="A854" s="8">
        <f>2016</f>
        <v>2016</v>
      </c>
      <c r="B854" s="3" t="s">
        <v>3</v>
      </c>
      <c r="C854" s="4">
        <v>44022.135399999999</v>
      </c>
      <c r="D854" s="5">
        <v>48897.364600000001</v>
      </c>
    </row>
    <row r="855" spans="1:4" s="1" customFormat="1" ht="19.75" customHeight="1" x14ac:dyDescent="0.25">
      <c r="A855" s="8">
        <f>2016</f>
        <v>2016</v>
      </c>
      <c r="B855" s="3" t="s">
        <v>4</v>
      </c>
      <c r="C855" s="6">
        <v>25887.897099999998</v>
      </c>
      <c r="D855" s="7">
        <v>27826.682799999999</v>
      </c>
    </row>
    <row r="856" spans="1:4" s="1" customFormat="1" ht="19.75" customHeight="1" x14ac:dyDescent="0.25">
      <c r="A856" s="8">
        <f>2016</f>
        <v>2016</v>
      </c>
      <c r="B856" s="3" t="s">
        <v>102</v>
      </c>
      <c r="C856" s="4">
        <v>19411.2369</v>
      </c>
      <c r="D856" s="5">
        <v>21146.3966</v>
      </c>
    </row>
    <row r="857" spans="1:4" s="1" customFormat="1" ht="19.75" customHeight="1" x14ac:dyDescent="0.25">
      <c r="A857" s="8">
        <f>2016</f>
        <v>2016</v>
      </c>
      <c r="B857" s="3" t="s">
        <v>108</v>
      </c>
      <c r="C857" s="6">
        <v>10645.733899999999</v>
      </c>
      <c r="D857" s="7">
        <v>11362.531000000001</v>
      </c>
    </row>
    <row r="858" spans="1:4" s="1" customFormat="1" ht="19.75" customHeight="1" x14ac:dyDescent="0.25">
      <c r="A858" s="8">
        <f>2016</f>
        <v>2016</v>
      </c>
      <c r="B858" s="3" t="s">
        <v>21</v>
      </c>
      <c r="C858" s="4">
        <v>28042.759099999999</v>
      </c>
      <c r="D858" s="5">
        <v>31453.458699999999</v>
      </c>
    </row>
    <row r="859" spans="1:4" s="1" customFormat="1" ht="19.75" customHeight="1" x14ac:dyDescent="0.25">
      <c r="A859" s="8">
        <f>2016</f>
        <v>2016</v>
      </c>
      <c r="B859" s="3" t="s">
        <v>5</v>
      </c>
      <c r="C859" s="6">
        <v>16243.7835</v>
      </c>
      <c r="D859" s="7">
        <v>18025.199799999999</v>
      </c>
    </row>
    <row r="860" spans="1:4" s="1" customFormat="1" ht="19.75" customHeight="1" x14ac:dyDescent="0.25">
      <c r="A860" s="8">
        <f>2016</f>
        <v>2016</v>
      </c>
      <c r="B860" s="3" t="s">
        <v>6</v>
      </c>
      <c r="C860" s="4">
        <v>23517.294900000001</v>
      </c>
      <c r="D860" s="5">
        <v>26045.551899999999</v>
      </c>
    </row>
    <row r="861" spans="1:4" s="1" customFormat="1" ht="19.75" customHeight="1" x14ac:dyDescent="0.25">
      <c r="A861" s="8">
        <f>2016</f>
        <v>2016</v>
      </c>
      <c r="B861" s="3" t="s">
        <v>103</v>
      </c>
      <c r="C861" s="6">
        <v>20168.499199999998</v>
      </c>
      <c r="D861" s="7">
        <v>21934.7811</v>
      </c>
    </row>
    <row r="862" spans="1:4" s="1" customFormat="1" ht="19.75" customHeight="1" x14ac:dyDescent="0.25">
      <c r="A862" s="8">
        <f>2016</f>
        <v>2016</v>
      </c>
      <c r="B862" s="3" t="s">
        <v>7</v>
      </c>
      <c r="C862" s="4">
        <v>8744.3408999999992</v>
      </c>
      <c r="D862" s="5">
        <v>9222.8266000000003</v>
      </c>
    </row>
    <row r="863" spans="1:4" s="1" customFormat="1" ht="19.75" customHeight="1" x14ac:dyDescent="0.25">
      <c r="A863" s="8">
        <f>2016</f>
        <v>2016</v>
      </c>
      <c r="B863" s="3" t="s">
        <v>8</v>
      </c>
      <c r="C863" s="6">
        <v>47424.349900000001</v>
      </c>
      <c r="D863" s="7">
        <v>53424.401599999997</v>
      </c>
    </row>
    <row r="864" spans="1:4" s="1" customFormat="1" ht="19.75" customHeight="1" x14ac:dyDescent="0.25">
      <c r="A864" s="8">
        <f>2016</f>
        <v>2016</v>
      </c>
      <c r="B864" s="3" t="s">
        <v>104</v>
      </c>
      <c r="C864" s="4">
        <v>23197.780200000001</v>
      </c>
      <c r="D864" s="5">
        <v>25706.5128</v>
      </c>
    </row>
    <row r="865" spans="1:4" s="1" customFormat="1" ht="19.75" customHeight="1" x14ac:dyDescent="0.25">
      <c r="A865" s="8">
        <f>2016</f>
        <v>2016</v>
      </c>
      <c r="B865" s="3" t="s">
        <v>10</v>
      </c>
      <c r="C865" s="6">
        <v>18560.974200000001</v>
      </c>
      <c r="D865" s="7">
        <v>20157.2798</v>
      </c>
    </row>
    <row r="866" spans="1:4" s="1" customFormat="1" ht="19.75" customHeight="1" x14ac:dyDescent="0.25">
      <c r="A866" s="8">
        <f>2016</f>
        <v>2016</v>
      </c>
      <c r="B866" s="3" t="s">
        <v>11</v>
      </c>
      <c r="C866" s="4">
        <v>32198.800800000001</v>
      </c>
      <c r="D866" s="5">
        <v>35830.536200000002</v>
      </c>
    </row>
    <row r="867" spans="1:4" s="1" customFormat="1" ht="19.75" customHeight="1" x14ac:dyDescent="0.25">
      <c r="A867" s="8">
        <f>2016</f>
        <v>2016</v>
      </c>
      <c r="B867" s="3" t="s">
        <v>105</v>
      </c>
      <c r="C867" s="6">
        <v>9936.6708999999992</v>
      </c>
      <c r="D867" s="7">
        <v>11404.204100000001</v>
      </c>
    </row>
    <row r="868" spans="1:4" s="1" customFormat="1" ht="19.75" customHeight="1" x14ac:dyDescent="0.25">
      <c r="A868" s="8">
        <f>2016</f>
        <v>2016</v>
      </c>
      <c r="B868" s="3" t="s">
        <v>109</v>
      </c>
      <c r="C868" s="4">
        <v>12083.579</v>
      </c>
      <c r="D868" s="5">
        <v>12957.438700000001</v>
      </c>
    </row>
    <row r="869" spans="1:4" s="1" customFormat="1" ht="19.75" customHeight="1" x14ac:dyDescent="0.25">
      <c r="A869" s="8">
        <f>2016</f>
        <v>2016</v>
      </c>
      <c r="B869" s="3" t="s">
        <v>12</v>
      </c>
      <c r="C869" s="6">
        <v>40988.036399999997</v>
      </c>
      <c r="D869" s="7">
        <v>50359.500800000002</v>
      </c>
    </row>
    <row r="870" spans="1:4" s="1" customFormat="1" ht="19.75" customHeight="1" x14ac:dyDescent="0.25">
      <c r="A870" s="8">
        <f>2016</f>
        <v>2016</v>
      </c>
      <c r="B870" s="3" t="s">
        <v>13</v>
      </c>
      <c r="C870" s="4">
        <v>1581.3605</v>
      </c>
      <c r="D870" s="5">
        <v>1731.2544</v>
      </c>
    </row>
    <row r="871" spans="1:4" s="1" customFormat="1" ht="19.75" customHeight="1" x14ac:dyDescent="0.25">
      <c r="A871" s="8">
        <f>2016</f>
        <v>2016</v>
      </c>
      <c r="B871" s="3" t="s">
        <v>14</v>
      </c>
      <c r="C871" s="6">
        <v>2944.2078000000001</v>
      </c>
      <c r="D871" s="7">
        <v>3354.1855</v>
      </c>
    </row>
    <row r="872" spans="1:4" s="1" customFormat="1" ht="19.75" customHeight="1" x14ac:dyDescent="0.25">
      <c r="A872" s="8">
        <f>2016</f>
        <v>2016</v>
      </c>
      <c r="B872" s="3" t="s">
        <v>15</v>
      </c>
      <c r="C872" s="4">
        <v>1482.8853999999999</v>
      </c>
      <c r="D872" s="5">
        <v>1587.5663999999999</v>
      </c>
    </row>
    <row r="873" spans="1:4" s="1" customFormat="1" ht="19.75" customHeight="1" x14ac:dyDescent="0.25">
      <c r="A873" s="8">
        <f>2016</f>
        <v>2016</v>
      </c>
      <c r="B873" s="3" t="s">
        <v>16</v>
      </c>
      <c r="C873" s="6">
        <v>1698.4635000000001</v>
      </c>
      <c r="D873" s="7">
        <v>1918.922</v>
      </c>
    </row>
    <row r="874" spans="1:4" s="1" customFormat="1" ht="19.75" customHeight="1" x14ac:dyDescent="0.25">
      <c r="A874" s="8">
        <f>2016</f>
        <v>2016</v>
      </c>
      <c r="B874" s="3" t="s">
        <v>17</v>
      </c>
      <c r="C874" s="4">
        <v>1204.2728999999999</v>
      </c>
      <c r="D874" s="5">
        <v>1280.9996000000001</v>
      </c>
    </row>
    <row r="875" spans="1:4" s="1" customFormat="1" ht="19.75" customHeight="1" x14ac:dyDescent="0.25">
      <c r="A875" s="8">
        <f>2016</f>
        <v>2016</v>
      </c>
      <c r="B875" s="3" t="s">
        <v>18</v>
      </c>
      <c r="C875" s="6">
        <v>7748.1584999999995</v>
      </c>
      <c r="D875" s="7">
        <v>8556.3487999999998</v>
      </c>
    </row>
    <row r="876" spans="1:4" s="1" customFormat="1" ht="19.75" customHeight="1" x14ac:dyDescent="0.25">
      <c r="A876" s="8">
        <f>2016</f>
        <v>2016</v>
      </c>
      <c r="B876" s="3" t="s">
        <v>19</v>
      </c>
      <c r="C876" s="4">
        <v>60221.445099999997</v>
      </c>
      <c r="D876" s="5">
        <v>70973.168399999995</v>
      </c>
    </row>
    <row r="877" spans="1:4" s="1" customFormat="1" ht="19.75" customHeight="1" x14ac:dyDescent="0.25">
      <c r="A877" s="8">
        <f>2016</f>
        <v>2016</v>
      </c>
      <c r="B877" s="3" t="s">
        <v>20</v>
      </c>
      <c r="C877" s="6">
        <v>52739.434800000003</v>
      </c>
      <c r="D877" s="7">
        <v>68062.486399999994</v>
      </c>
    </row>
    <row r="878" spans="1:4" s="1" customFormat="1" ht="19.75" customHeight="1" x14ac:dyDescent="0.25">
      <c r="A878" s="8">
        <f>2016</f>
        <v>2016</v>
      </c>
      <c r="B878" s="3" t="s">
        <v>111</v>
      </c>
      <c r="C878" s="4">
        <v>3648.8323999999998</v>
      </c>
      <c r="D878" s="5">
        <v>4052.0297999999998</v>
      </c>
    </row>
    <row r="879" spans="1:4" s="1" customFormat="1" ht="19.75" customHeight="1" x14ac:dyDescent="0.25">
      <c r="A879" s="8">
        <f>2016</f>
        <v>2016</v>
      </c>
      <c r="B879" s="3" t="s">
        <v>23</v>
      </c>
      <c r="C879" s="6">
        <v>11871.743700000001</v>
      </c>
      <c r="D879" s="7">
        <v>15168.689899999999</v>
      </c>
    </row>
    <row r="880" spans="1:4" s="1" customFormat="1" ht="19.75" customHeight="1" x14ac:dyDescent="0.25">
      <c r="A880" s="8">
        <f>2016</f>
        <v>2016</v>
      </c>
      <c r="B880" s="3" t="s">
        <v>24</v>
      </c>
      <c r="C880" s="4">
        <v>6843.5718999999999</v>
      </c>
      <c r="D880" s="5">
        <v>7347.5991999999997</v>
      </c>
    </row>
    <row r="881" spans="1:4" s="1" customFormat="1" ht="19.75" customHeight="1" x14ac:dyDescent="0.25">
      <c r="A881" s="8">
        <f>2016</f>
        <v>2016</v>
      </c>
      <c r="B881" s="3" t="s">
        <v>25</v>
      </c>
      <c r="C881" s="6">
        <v>4992.2102999999997</v>
      </c>
      <c r="D881" s="7">
        <v>5535.07</v>
      </c>
    </row>
    <row r="882" spans="1:4" s="1" customFormat="1" ht="19.75" customHeight="1" x14ac:dyDescent="0.25">
      <c r="A882" s="8">
        <f>2016</f>
        <v>2016</v>
      </c>
      <c r="B882" s="3" t="s">
        <v>26</v>
      </c>
      <c r="C882" s="4">
        <v>5443.4318999999996</v>
      </c>
      <c r="D882" s="5">
        <v>6150.2160000000003</v>
      </c>
    </row>
    <row r="883" spans="1:4" s="1" customFormat="1" ht="19.75" customHeight="1" x14ac:dyDescent="0.25">
      <c r="A883" s="8">
        <f>2016</f>
        <v>2016</v>
      </c>
      <c r="B883" s="3" t="s">
        <v>27</v>
      </c>
      <c r="C883" s="6">
        <v>16384.183799999999</v>
      </c>
      <c r="D883" s="7">
        <v>18996.4179</v>
      </c>
    </row>
    <row r="884" spans="1:4" s="1" customFormat="1" ht="19.75" customHeight="1" x14ac:dyDescent="0.25">
      <c r="A884" s="8">
        <f>2016</f>
        <v>2016</v>
      </c>
      <c r="B884" s="3" t="s">
        <v>106</v>
      </c>
      <c r="C884" s="4">
        <v>2568.2991000000002</v>
      </c>
      <c r="D884" s="5">
        <v>2872.8314999999998</v>
      </c>
    </row>
    <row r="885" spans="1:4" s="1" customFormat="1" ht="19.75" customHeight="1" x14ac:dyDescent="0.25">
      <c r="A885" s="8">
        <f>2016</f>
        <v>2016</v>
      </c>
      <c r="B885" s="3" t="s">
        <v>28</v>
      </c>
      <c r="C885" s="6">
        <v>536.11980000000005</v>
      </c>
      <c r="D885" s="7">
        <v>565.05589999999995</v>
      </c>
    </row>
    <row r="886" spans="1:4" s="1" customFormat="1" ht="19.75" customHeight="1" x14ac:dyDescent="0.25">
      <c r="A886" s="8">
        <f>2016</f>
        <v>2016</v>
      </c>
      <c r="B886" s="3" t="s">
        <v>29</v>
      </c>
      <c r="C886" s="4">
        <v>2744.3072999999999</v>
      </c>
      <c r="D886" s="5">
        <v>3234.85</v>
      </c>
    </row>
    <row r="887" spans="1:4" s="1" customFormat="1" ht="19.75" customHeight="1" x14ac:dyDescent="0.25">
      <c r="A887" s="8">
        <f>2016</f>
        <v>2016</v>
      </c>
      <c r="B887" s="3" t="s">
        <v>30</v>
      </c>
      <c r="C887" s="6">
        <v>5557.1979000000001</v>
      </c>
      <c r="D887" s="7">
        <v>6074.6216000000004</v>
      </c>
    </row>
    <row r="888" spans="1:4" s="1" customFormat="1" ht="19.75" customHeight="1" x14ac:dyDescent="0.25">
      <c r="A888" s="8">
        <f>2016</f>
        <v>2016</v>
      </c>
      <c r="B888" s="3" t="s">
        <v>31</v>
      </c>
      <c r="C888" s="4">
        <v>3252.1703000000002</v>
      </c>
      <c r="D888" s="5">
        <v>3570.6747999999998</v>
      </c>
    </row>
    <row r="889" spans="1:4" s="1" customFormat="1" ht="19.75" customHeight="1" x14ac:dyDescent="0.25">
      <c r="A889" s="8">
        <f>2016</f>
        <v>2016</v>
      </c>
      <c r="B889" s="3" t="s">
        <v>32</v>
      </c>
      <c r="C889" s="6">
        <v>13533.4419</v>
      </c>
      <c r="D889" s="7">
        <v>16245.589099999999</v>
      </c>
    </row>
    <row r="890" spans="1:4" s="1" customFormat="1" ht="19.75" customHeight="1" x14ac:dyDescent="0.25">
      <c r="A890" s="8">
        <f>2016</f>
        <v>2016</v>
      </c>
      <c r="B890" s="3" t="s">
        <v>92</v>
      </c>
      <c r="C890" s="4">
        <v>8.0671999999999997</v>
      </c>
      <c r="D890" s="5">
        <v>35.779200000000003</v>
      </c>
    </row>
    <row r="891" spans="1:4" s="1" customFormat="1" ht="19.75" customHeight="1" x14ac:dyDescent="0.25">
      <c r="A891" s="8">
        <f>2016</f>
        <v>2016</v>
      </c>
      <c r="B891" s="3" t="s">
        <v>97</v>
      </c>
      <c r="C891" s="6">
        <v>185.23500000000001</v>
      </c>
      <c r="D891" s="7">
        <v>206.83699999999999</v>
      </c>
    </row>
    <row r="892" spans="1:4" s="1" customFormat="1" ht="19.75" customHeight="1" x14ac:dyDescent="0.25">
      <c r="A892" s="8">
        <f>2016</f>
        <v>2016</v>
      </c>
      <c r="B892" s="3" t="s">
        <v>34</v>
      </c>
      <c r="C892" s="4">
        <v>203.95070000000001</v>
      </c>
      <c r="D892" s="5">
        <v>1048.8759</v>
      </c>
    </row>
    <row r="893" spans="1:4" s="1" customFormat="1" ht="30.4" customHeight="1" x14ac:dyDescent="0.25">
      <c r="A893" s="8">
        <f>2016</f>
        <v>2016</v>
      </c>
      <c r="B893" s="3" t="s">
        <v>35</v>
      </c>
      <c r="C893" s="6">
        <v>290.70339999999999</v>
      </c>
      <c r="D893" s="7">
        <v>430.04599999999999</v>
      </c>
    </row>
    <row r="894" spans="1:4" s="1" customFormat="1" ht="19.75" customHeight="1" x14ac:dyDescent="0.25">
      <c r="A894" s="8">
        <f>2016</f>
        <v>2016</v>
      </c>
      <c r="B894" s="3" t="s">
        <v>36</v>
      </c>
      <c r="C894" s="4">
        <v>2024.9050999999999</v>
      </c>
      <c r="D894" s="5">
        <v>2599.6351</v>
      </c>
    </row>
    <row r="895" spans="1:4" s="1" customFormat="1" ht="19.75" customHeight="1" x14ac:dyDescent="0.25">
      <c r="A895" s="8">
        <f>2016</f>
        <v>2016</v>
      </c>
      <c r="B895" s="3" t="s">
        <v>37</v>
      </c>
      <c r="C895" s="6">
        <v>112.0701</v>
      </c>
      <c r="D895" s="7">
        <v>136.48859999999999</v>
      </c>
    </row>
    <row r="896" spans="1:4" s="1" customFormat="1" ht="19.75" customHeight="1" x14ac:dyDescent="0.25">
      <c r="A896" s="8">
        <f>2016</f>
        <v>2016</v>
      </c>
      <c r="B896" s="3" t="s">
        <v>38</v>
      </c>
      <c r="C896" s="4">
        <v>33.584400000000002</v>
      </c>
      <c r="D896" s="5">
        <v>41.480699999999999</v>
      </c>
    </row>
    <row r="897" spans="1:4" s="1" customFormat="1" ht="19.75" customHeight="1" x14ac:dyDescent="0.25">
      <c r="A897" s="8">
        <f>2016</f>
        <v>2016</v>
      </c>
      <c r="B897" s="3" t="s">
        <v>40</v>
      </c>
      <c r="C897" s="6">
        <v>638.96569999999997</v>
      </c>
      <c r="D897" s="7">
        <v>746.23310000000004</v>
      </c>
    </row>
    <row r="898" spans="1:4" s="1" customFormat="1" ht="19.75" customHeight="1" x14ac:dyDescent="0.25">
      <c r="A898" s="8">
        <f>2016</f>
        <v>2016</v>
      </c>
      <c r="B898" s="3" t="s">
        <v>41</v>
      </c>
      <c r="C898" s="4">
        <v>1883.4143999999999</v>
      </c>
      <c r="D898" s="5">
        <v>2065.7950999999998</v>
      </c>
    </row>
    <row r="899" spans="1:4" s="1" customFormat="1" ht="19.75" customHeight="1" x14ac:dyDescent="0.25">
      <c r="A899" s="8">
        <f>2016</f>
        <v>2016</v>
      </c>
      <c r="B899" s="3" t="s">
        <v>42</v>
      </c>
      <c r="C899" s="6">
        <v>1958.4065000000001</v>
      </c>
      <c r="D899" s="7">
        <v>2401.2143000000001</v>
      </c>
    </row>
    <row r="900" spans="1:4" s="1" customFormat="1" ht="19.75" customHeight="1" x14ac:dyDescent="0.25">
      <c r="A900" s="8">
        <f>2016</f>
        <v>2016</v>
      </c>
      <c r="B900" s="3" t="s">
        <v>43</v>
      </c>
      <c r="C900" s="4">
        <v>10697.6</v>
      </c>
      <c r="D900" s="5">
        <v>13862.98</v>
      </c>
    </row>
    <row r="901" spans="1:4" s="1" customFormat="1" ht="19.75" customHeight="1" x14ac:dyDescent="0.25">
      <c r="A901" s="8">
        <f>2016</f>
        <v>2016</v>
      </c>
      <c r="B901" s="3" t="s">
        <v>118</v>
      </c>
      <c r="C901" s="6">
        <v>31.8856</v>
      </c>
      <c r="D901" s="7">
        <v>29.3156</v>
      </c>
    </row>
    <row r="902" spans="1:4" s="1" customFormat="1" ht="19.75" customHeight="1" x14ac:dyDescent="0.25">
      <c r="A902" s="8">
        <f>2016</f>
        <v>2016</v>
      </c>
      <c r="B902" s="3" t="s">
        <v>44</v>
      </c>
      <c r="C902" s="4">
        <v>187.49969999999999</v>
      </c>
      <c r="D902" s="5">
        <v>247.38</v>
      </c>
    </row>
    <row r="903" spans="1:4" s="1" customFormat="1" ht="19.75" customHeight="1" x14ac:dyDescent="0.25">
      <c r="A903" s="8">
        <f>2016</f>
        <v>2016</v>
      </c>
      <c r="B903" s="3" t="s">
        <v>45</v>
      </c>
      <c r="C903" s="6">
        <v>410.20260000000002</v>
      </c>
      <c r="D903" s="7">
        <v>508.24470000000002</v>
      </c>
    </row>
    <row r="904" spans="1:4" s="1" customFormat="1" ht="19.75" customHeight="1" x14ac:dyDescent="0.25">
      <c r="A904" s="8">
        <f>2016</f>
        <v>2016</v>
      </c>
      <c r="B904" s="3" t="s">
        <v>93</v>
      </c>
      <c r="C904" s="4">
        <v>724.97969999999998</v>
      </c>
      <c r="D904" s="5">
        <v>812.33709999999996</v>
      </c>
    </row>
    <row r="905" spans="1:4" s="1" customFormat="1" ht="19.75" customHeight="1" x14ac:dyDescent="0.25">
      <c r="A905" s="8">
        <f>2016</f>
        <v>2016</v>
      </c>
      <c r="B905" s="3" t="s">
        <v>46</v>
      </c>
      <c r="C905" s="6">
        <v>50.566499999999998</v>
      </c>
      <c r="D905" s="7">
        <v>59.867600000000003</v>
      </c>
    </row>
    <row r="906" spans="1:4" s="1" customFormat="1" ht="19.75" customHeight="1" x14ac:dyDescent="0.25">
      <c r="A906" s="8">
        <f>2016</f>
        <v>2016</v>
      </c>
      <c r="B906" s="3" t="s">
        <v>47</v>
      </c>
      <c r="C906" s="4">
        <v>2091.8759</v>
      </c>
      <c r="D906" s="5">
        <v>2371.8845000000001</v>
      </c>
    </row>
    <row r="907" spans="1:4" s="1" customFormat="1" ht="19.75" customHeight="1" x14ac:dyDescent="0.25">
      <c r="A907" s="8">
        <f>2016</f>
        <v>2016</v>
      </c>
      <c r="B907" s="3" t="s">
        <v>48</v>
      </c>
      <c r="C907" s="6">
        <v>4957.4967999999999</v>
      </c>
      <c r="D907" s="7">
        <v>5913.1944000000003</v>
      </c>
    </row>
    <row r="908" spans="1:4" s="1" customFormat="1" ht="19.75" customHeight="1" x14ac:dyDescent="0.25">
      <c r="A908" s="8">
        <f>2016</f>
        <v>2016</v>
      </c>
      <c r="B908" s="3" t="s">
        <v>49</v>
      </c>
      <c r="C908" s="4">
        <v>31.021100000000001</v>
      </c>
      <c r="D908" s="5">
        <v>40.204500000000003</v>
      </c>
    </row>
    <row r="909" spans="1:4" s="1" customFormat="1" ht="19.75" customHeight="1" x14ac:dyDescent="0.25">
      <c r="A909" s="8">
        <f>2016</f>
        <v>2016</v>
      </c>
      <c r="B909" s="3" t="s">
        <v>51</v>
      </c>
      <c r="C909" s="6">
        <v>6.9351000000000003</v>
      </c>
      <c r="D909" s="7">
        <v>17.724499999999999</v>
      </c>
    </row>
    <row r="910" spans="1:4" s="1" customFormat="1" ht="19.75" customHeight="1" x14ac:dyDescent="0.25">
      <c r="A910" s="8">
        <f>2016</f>
        <v>2016</v>
      </c>
      <c r="B910" s="3" t="s">
        <v>52</v>
      </c>
      <c r="C910" s="4">
        <v>119.8742</v>
      </c>
      <c r="D910" s="5">
        <v>162.1669</v>
      </c>
    </row>
    <row r="911" spans="1:4" s="1" customFormat="1" ht="19.75" customHeight="1" x14ac:dyDescent="0.25">
      <c r="A911" s="8">
        <f>2016</f>
        <v>2016</v>
      </c>
      <c r="B911" s="3" t="s">
        <v>98</v>
      </c>
      <c r="C911" s="6">
        <v>8477.9541000000008</v>
      </c>
      <c r="D911" s="7">
        <v>10308.2191</v>
      </c>
    </row>
    <row r="912" spans="1:4" s="1" customFormat="1" ht="19.75" customHeight="1" x14ac:dyDescent="0.25">
      <c r="A912" s="8">
        <f>2016</f>
        <v>2016</v>
      </c>
      <c r="B912" s="3" t="s">
        <v>53</v>
      </c>
      <c r="C912" s="4">
        <v>106.2384</v>
      </c>
      <c r="D912" s="5">
        <v>139.15260000000001</v>
      </c>
    </row>
    <row r="913" spans="1:4" s="1" customFormat="1" ht="19.75" customHeight="1" x14ac:dyDescent="0.25">
      <c r="A913" s="8">
        <f>2016</f>
        <v>2016</v>
      </c>
      <c r="B913" s="3" t="s">
        <v>54</v>
      </c>
      <c r="C913" s="6">
        <v>17.714099999999998</v>
      </c>
      <c r="D913" s="7">
        <v>19.665500000000002</v>
      </c>
    </row>
    <row r="914" spans="1:4" s="1" customFormat="1" ht="19.75" customHeight="1" x14ac:dyDescent="0.25">
      <c r="A914" s="8">
        <f>2016</f>
        <v>2016</v>
      </c>
      <c r="B914" s="3" t="s">
        <v>55</v>
      </c>
      <c r="C914" s="4">
        <v>1846.8768</v>
      </c>
      <c r="D914" s="5">
        <v>2633.7375999999999</v>
      </c>
    </row>
    <row r="915" spans="1:4" s="1" customFormat="1" ht="19.75" customHeight="1" x14ac:dyDescent="0.25">
      <c r="A915" s="8">
        <f>2016</f>
        <v>2016</v>
      </c>
      <c r="B915" s="3" t="s">
        <v>56</v>
      </c>
      <c r="C915" s="6">
        <v>10.109500000000001</v>
      </c>
      <c r="D915" s="7">
        <v>10.855600000000001</v>
      </c>
    </row>
    <row r="916" spans="1:4" s="1" customFormat="1" ht="19.75" customHeight="1" x14ac:dyDescent="0.25">
      <c r="A916" s="8">
        <f>2016</f>
        <v>2016</v>
      </c>
      <c r="B916" s="3" t="s">
        <v>119</v>
      </c>
      <c r="C916" s="4">
        <v>29.1371</v>
      </c>
      <c r="D916" s="5">
        <v>42.327100000000002</v>
      </c>
    </row>
    <row r="917" spans="1:4" s="1" customFormat="1" ht="19.75" customHeight="1" x14ac:dyDescent="0.25">
      <c r="A917" s="8">
        <f>2016</f>
        <v>2016</v>
      </c>
      <c r="B917" s="3" t="s">
        <v>57</v>
      </c>
      <c r="C917" s="6">
        <v>23.7148</v>
      </c>
      <c r="D917" s="7">
        <v>34.4848</v>
      </c>
    </row>
    <row r="918" spans="1:4" s="1" customFormat="1" ht="19.75" customHeight="1" x14ac:dyDescent="0.25">
      <c r="A918" s="8">
        <f>2016</f>
        <v>2016</v>
      </c>
      <c r="B918" s="3" t="s">
        <v>94</v>
      </c>
      <c r="C918" s="4">
        <v>27.0687</v>
      </c>
      <c r="D918" s="5">
        <v>27.808199999999999</v>
      </c>
    </row>
    <row r="919" spans="1:4" s="1" customFormat="1" ht="19.75" customHeight="1" x14ac:dyDescent="0.25">
      <c r="A919" s="8">
        <f>2016</f>
        <v>2016</v>
      </c>
      <c r="B919" s="3" t="s">
        <v>59</v>
      </c>
      <c r="C919" s="6">
        <v>16.454499999999999</v>
      </c>
      <c r="D919" s="7">
        <v>44.453800000000001</v>
      </c>
    </row>
    <row r="920" spans="1:4" s="1" customFormat="1" ht="19.75" customHeight="1" x14ac:dyDescent="0.25">
      <c r="A920" s="8">
        <f>2016</f>
        <v>2016</v>
      </c>
      <c r="B920" s="3" t="s">
        <v>60</v>
      </c>
      <c r="C920" s="4">
        <v>768.49170000000004</v>
      </c>
      <c r="D920" s="5">
        <v>837.25620000000004</v>
      </c>
    </row>
    <row r="921" spans="1:4" s="1" customFormat="1" ht="19.75" customHeight="1" x14ac:dyDescent="0.25">
      <c r="A921" s="8">
        <f>2016</f>
        <v>2016</v>
      </c>
      <c r="B921" s="3" t="s">
        <v>61</v>
      </c>
      <c r="C921" s="6">
        <v>1215.2855999999999</v>
      </c>
      <c r="D921" s="7">
        <v>1501.5948000000001</v>
      </c>
    </row>
    <row r="922" spans="1:4" s="1" customFormat="1" ht="19.75" customHeight="1" x14ac:dyDescent="0.25">
      <c r="A922" s="8">
        <f>2016</f>
        <v>2016</v>
      </c>
      <c r="B922" s="3" t="s">
        <v>110</v>
      </c>
      <c r="C922" s="4">
        <v>55.756700000000002</v>
      </c>
      <c r="D922" s="5">
        <v>63.431199999999997</v>
      </c>
    </row>
    <row r="923" spans="1:4" s="1" customFormat="1" ht="19.75" customHeight="1" x14ac:dyDescent="0.25">
      <c r="A923" s="8">
        <f>2016</f>
        <v>2016</v>
      </c>
      <c r="B923" s="3" t="s">
        <v>64</v>
      </c>
      <c r="C923" s="6">
        <v>21.3567</v>
      </c>
      <c r="D923" s="7">
        <v>24.773399999999999</v>
      </c>
    </row>
    <row r="924" spans="1:4" s="1" customFormat="1" ht="19.75" customHeight="1" x14ac:dyDescent="0.25">
      <c r="A924" s="8">
        <f>2016</f>
        <v>2016</v>
      </c>
      <c r="B924" s="3" t="s">
        <v>66</v>
      </c>
      <c r="C924" s="4">
        <v>36.369399999999999</v>
      </c>
      <c r="D924" s="5">
        <v>43.712400000000002</v>
      </c>
    </row>
    <row r="925" spans="1:4" s="1" customFormat="1" ht="19.75" customHeight="1" x14ac:dyDescent="0.25">
      <c r="A925" s="8">
        <f>2016</f>
        <v>2016</v>
      </c>
      <c r="B925" s="3" t="s">
        <v>67</v>
      </c>
      <c r="C925" s="6">
        <v>129.00550000000001</v>
      </c>
      <c r="D925" s="7">
        <v>143.05250000000001</v>
      </c>
    </row>
    <row r="926" spans="1:4" s="1" customFormat="1" ht="19.75" customHeight="1" x14ac:dyDescent="0.25">
      <c r="A926" s="8">
        <f>2016</f>
        <v>2016</v>
      </c>
      <c r="B926" s="3" t="s">
        <v>68</v>
      </c>
      <c r="C926" s="4">
        <v>331.9117</v>
      </c>
      <c r="D926" s="5">
        <v>359.13679999999999</v>
      </c>
    </row>
    <row r="927" spans="1:4" s="1" customFormat="1" ht="19.75" customHeight="1" x14ac:dyDescent="0.25">
      <c r="A927" s="8">
        <f>2016</f>
        <v>2016</v>
      </c>
      <c r="B927" s="3" t="s">
        <v>69</v>
      </c>
      <c r="C927" s="6">
        <v>404.91789999999997</v>
      </c>
      <c r="D927" s="7">
        <v>481.40249999999997</v>
      </c>
    </row>
    <row r="928" spans="1:4" s="1" customFormat="1" ht="19.75" customHeight="1" x14ac:dyDescent="0.25">
      <c r="A928" s="8">
        <f>2016</f>
        <v>2016</v>
      </c>
      <c r="B928" s="3" t="s">
        <v>95</v>
      </c>
      <c r="C928" s="4">
        <v>3.6526000000000001</v>
      </c>
      <c r="D928" s="5">
        <v>11.3348</v>
      </c>
    </row>
    <row r="929" spans="1:4" s="1" customFormat="1" ht="19.75" customHeight="1" x14ac:dyDescent="0.25">
      <c r="A929" s="8">
        <f>2016</f>
        <v>2016</v>
      </c>
      <c r="B929" s="3" t="s">
        <v>71</v>
      </c>
      <c r="C929" s="6">
        <v>10019.0993</v>
      </c>
      <c r="D929" s="7">
        <v>12012.579599999999</v>
      </c>
    </row>
    <row r="930" spans="1:4" s="1" customFormat="1" ht="19.75" customHeight="1" x14ac:dyDescent="0.25">
      <c r="A930" s="8">
        <f>2016</f>
        <v>2016</v>
      </c>
      <c r="B930" s="3" t="s">
        <v>72</v>
      </c>
      <c r="C930" s="4">
        <v>609.34760000000006</v>
      </c>
      <c r="D930" s="5">
        <v>654.61329999999998</v>
      </c>
    </row>
    <row r="931" spans="1:4" s="1" customFormat="1" ht="19.75" customHeight="1" x14ac:dyDescent="0.25">
      <c r="A931" s="8">
        <f>2016</f>
        <v>2016</v>
      </c>
      <c r="B931" s="3" t="s">
        <v>99</v>
      </c>
      <c r="C931" s="6">
        <v>1131.104</v>
      </c>
      <c r="D931" s="7">
        <v>1358.9766</v>
      </c>
    </row>
    <row r="932" spans="1:4" s="1" customFormat="1" ht="19.75" customHeight="1" x14ac:dyDescent="0.25">
      <c r="A932" s="8">
        <f>2016</f>
        <v>2016</v>
      </c>
      <c r="B932" s="3" t="s">
        <v>75</v>
      </c>
      <c r="C932" s="4">
        <v>108.155</v>
      </c>
      <c r="D932" s="5">
        <v>116.3976</v>
      </c>
    </row>
    <row r="933" spans="1:4" s="1" customFormat="1" ht="19.75" customHeight="1" x14ac:dyDescent="0.25">
      <c r="A933" s="8">
        <f>2016</f>
        <v>2016</v>
      </c>
      <c r="B933" s="3" t="s">
        <v>107</v>
      </c>
      <c r="C933" s="6">
        <v>205.71350000000001</v>
      </c>
      <c r="D933" s="7">
        <v>172.40219999999999</v>
      </c>
    </row>
    <row r="934" spans="1:4" s="1" customFormat="1" ht="19.75" customHeight="1" x14ac:dyDescent="0.25">
      <c r="A934" s="8">
        <f>2016</f>
        <v>2016</v>
      </c>
      <c r="B934" s="3" t="s">
        <v>76</v>
      </c>
      <c r="C934" s="4">
        <v>72.843599999999995</v>
      </c>
      <c r="D934" s="5">
        <v>77.234300000000005</v>
      </c>
    </row>
    <row r="935" spans="1:4" s="1" customFormat="1" ht="19.75" customHeight="1" x14ac:dyDescent="0.25">
      <c r="A935" s="8">
        <f>2015</f>
        <v>2015</v>
      </c>
      <c r="B935" s="3" t="s">
        <v>112</v>
      </c>
      <c r="C935" s="6">
        <v>9005.4518000000007</v>
      </c>
      <c r="D935" s="7">
        <v>9931.8435000000009</v>
      </c>
    </row>
    <row r="936" spans="1:4" s="1" customFormat="1" ht="19.75" customHeight="1" x14ac:dyDescent="0.25">
      <c r="A936" s="8">
        <f>2015</f>
        <v>2015</v>
      </c>
      <c r="B936" s="3" t="s">
        <v>113</v>
      </c>
      <c r="C936" s="4">
        <v>13823.7598</v>
      </c>
      <c r="D936" s="5">
        <v>15148.822700000001</v>
      </c>
    </row>
    <row r="937" spans="1:4" s="1" customFormat="1" ht="19.75" customHeight="1" x14ac:dyDescent="0.25">
      <c r="A937" s="8">
        <f>2015</f>
        <v>2015</v>
      </c>
      <c r="B937" s="3" t="s">
        <v>9</v>
      </c>
      <c r="C937" s="6">
        <v>152397.0742</v>
      </c>
      <c r="D937" s="7">
        <v>174972.96679999999</v>
      </c>
    </row>
    <row r="938" spans="1:4" s="1" customFormat="1" ht="19.75" customHeight="1" x14ac:dyDescent="0.25">
      <c r="A938" s="8">
        <f>2015</f>
        <v>2015</v>
      </c>
      <c r="B938" s="3" t="s">
        <v>114</v>
      </c>
      <c r="C938" s="4">
        <v>6939.9861000000001</v>
      </c>
      <c r="D938" s="5">
        <v>7707.5915000000005</v>
      </c>
    </row>
    <row r="939" spans="1:4" s="1" customFormat="1" ht="19.75" customHeight="1" x14ac:dyDescent="0.25">
      <c r="A939" s="8">
        <f>2015</f>
        <v>2015</v>
      </c>
      <c r="B939" s="3" t="s">
        <v>115</v>
      </c>
      <c r="C939" s="6">
        <v>10351.352000000001</v>
      </c>
      <c r="D939" s="7">
        <v>11358.0594</v>
      </c>
    </row>
    <row r="940" spans="1:4" s="1" customFormat="1" ht="19.75" customHeight="1" x14ac:dyDescent="0.25">
      <c r="A940" s="8">
        <f>2015</f>
        <v>2015</v>
      </c>
      <c r="B940" s="3" t="s">
        <v>116</v>
      </c>
      <c r="C940" s="4">
        <v>9568.6023000000005</v>
      </c>
      <c r="D940" s="5">
        <v>10583.391799999999</v>
      </c>
    </row>
    <row r="941" spans="1:4" s="1" customFormat="1" ht="19.75" customHeight="1" x14ac:dyDescent="0.25">
      <c r="A941" s="8">
        <f>2015</f>
        <v>2015</v>
      </c>
      <c r="B941" s="3" t="s">
        <v>100</v>
      </c>
      <c r="C941" s="6">
        <v>19716.116699999999</v>
      </c>
      <c r="D941" s="7">
        <v>21712.1289</v>
      </c>
    </row>
    <row r="942" spans="1:4" s="1" customFormat="1" ht="19.75" customHeight="1" x14ac:dyDescent="0.25">
      <c r="A942" s="8">
        <f>2015</f>
        <v>2015</v>
      </c>
      <c r="B942" s="3" t="s">
        <v>101</v>
      </c>
      <c r="C942" s="4">
        <v>16368.6044</v>
      </c>
      <c r="D942" s="5">
        <v>17868.446199999998</v>
      </c>
    </row>
    <row r="943" spans="1:4" s="1" customFormat="1" ht="19.75" customHeight="1" x14ac:dyDescent="0.25">
      <c r="A943" s="8">
        <f>2015</f>
        <v>2015</v>
      </c>
      <c r="B943" s="3" t="s">
        <v>0</v>
      </c>
      <c r="C943" s="6">
        <v>42963.557000000001</v>
      </c>
      <c r="D943" s="7">
        <v>47365.552000000003</v>
      </c>
    </row>
    <row r="944" spans="1:4" s="1" customFormat="1" ht="19.75" customHeight="1" x14ac:dyDescent="0.25">
      <c r="A944" s="8">
        <f>2015</f>
        <v>2015</v>
      </c>
      <c r="B944" s="3" t="s">
        <v>1</v>
      </c>
      <c r="C944" s="4">
        <v>43464.706700000002</v>
      </c>
      <c r="D944" s="5">
        <v>47662.606899999999</v>
      </c>
    </row>
    <row r="945" spans="1:4" s="1" customFormat="1" ht="19.75" customHeight="1" x14ac:dyDescent="0.25">
      <c r="A945" s="8">
        <f>2015</f>
        <v>2015</v>
      </c>
      <c r="B945" s="3" t="s">
        <v>2</v>
      </c>
      <c r="C945" s="6">
        <v>12665.443499999999</v>
      </c>
      <c r="D945" s="7">
        <v>13671.424300000001</v>
      </c>
    </row>
    <row r="946" spans="1:4" s="1" customFormat="1" ht="19.75" customHeight="1" x14ac:dyDescent="0.25">
      <c r="A946" s="8">
        <f>2015</f>
        <v>2015</v>
      </c>
      <c r="B946" s="3" t="s">
        <v>117</v>
      </c>
      <c r="C946" s="4">
        <v>118.7647</v>
      </c>
      <c r="D946" s="5">
        <v>137.29990000000001</v>
      </c>
    </row>
    <row r="947" spans="1:4" s="1" customFormat="1" ht="19.75" customHeight="1" x14ac:dyDescent="0.25">
      <c r="A947" s="8">
        <f>2015</f>
        <v>2015</v>
      </c>
      <c r="B947" s="3" t="s">
        <v>3</v>
      </c>
      <c r="C947" s="6">
        <v>43750.042600000001</v>
      </c>
      <c r="D947" s="7">
        <v>48300.2929</v>
      </c>
    </row>
    <row r="948" spans="1:4" s="1" customFormat="1" ht="19.75" customHeight="1" x14ac:dyDescent="0.25">
      <c r="A948" s="8">
        <f>2015</f>
        <v>2015</v>
      </c>
      <c r="B948" s="3" t="s">
        <v>4</v>
      </c>
      <c r="C948" s="4">
        <v>26408.779399999999</v>
      </c>
      <c r="D948" s="5">
        <v>28303.010900000001</v>
      </c>
    </row>
    <row r="949" spans="1:4" s="1" customFormat="1" ht="19.75" customHeight="1" x14ac:dyDescent="0.25">
      <c r="A949" s="8">
        <f>2015</f>
        <v>2015</v>
      </c>
      <c r="B949" s="3" t="s">
        <v>102</v>
      </c>
      <c r="C949" s="6">
        <v>19556.444800000001</v>
      </c>
      <c r="D949" s="7">
        <v>21038.906999999999</v>
      </c>
    </row>
    <row r="950" spans="1:4" s="1" customFormat="1" ht="19.75" customHeight="1" x14ac:dyDescent="0.25">
      <c r="A950" s="8">
        <f>2015</f>
        <v>2015</v>
      </c>
      <c r="B950" s="3" t="s">
        <v>108</v>
      </c>
      <c r="C950" s="4">
        <v>10763.485199999999</v>
      </c>
      <c r="D950" s="5">
        <v>11484.8197</v>
      </c>
    </row>
    <row r="951" spans="1:4" s="1" customFormat="1" ht="19.75" customHeight="1" x14ac:dyDescent="0.25">
      <c r="A951" s="8">
        <f>2015</f>
        <v>2015</v>
      </c>
      <c r="B951" s="3" t="s">
        <v>21</v>
      </c>
      <c r="C951" s="6">
        <v>28153.991999999998</v>
      </c>
      <c r="D951" s="7">
        <v>32161.624100000001</v>
      </c>
    </row>
    <row r="952" spans="1:4" s="1" customFormat="1" ht="19.75" customHeight="1" x14ac:dyDescent="0.25">
      <c r="A952" s="8">
        <f>2015</f>
        <v>2015</v>
      </c>
      <c r="B952" s="3" t="s">
        <v>5</v>
      </c>
      <c r="C952" s="4">
        <v>15852.939899999999</v>
      </c>
      <c r="D952" s="5">
        <v>17216.296399999999</v>
      </c>
    </row>
    <row r="953" spans="1:4" s="1" customFormat="1" ht="19.75" customHeight="1" x14ac:dyDescent="0.25">
      <c r="A953" s="8">
        <f>2015</f>
        <v>2015</v>
      </c>
      <c r="B953" s="3" t="s">
        <v>6</v>
      </c>
      <c r="C953" s="6">
        <v>23938.334500000001</v>
      </c>
      <c r="D953" s="7">
        <v>26076.931199999999</v>
      </c>
    </row>
    <row r="954" spans="1:4" s="1" customFormat="1" ht="19.75" customHeight="1" x14ac:dyDescent="0.25">
      <c r="A954" s="8">
        <f>2015</f>
        <v>2015</v>
      </c>
      <c r="B954" s="3" t="s">
        <v>103</v>
      </c>
      <c r="C954" s="4">
        <v>19961.380499999999</v>
      </c>
      <c r="D954" s="5">
        <v>22082.776900000001</v>
      </c>
    </row>
    <row r="955" spans="1:4" s="1" customFormat="1" ht="19.75" customHeight="1" x14ac:dyDescent="0.25">
      <c r="A955" s="8">
        <f>2015</f>
        <v>2015</v>
      </c>
      <c r="B955" s="3" t="s">
        <v>7</v>
      </c>
      <c r="C955" s="6">
        <v>8588.5470999999998</v>
      </c>
      <c r="D955" s="7">
        <v>9017.2999</v>
      </c>
    </row>
    <row r="956" spans="1:4" s="1" customFormat="1" ht="19.75" customHeight="1" x14ac:dyDescent="0.25">
      <c r="A956" s="8">
        <f>2015</f>
        <v>2015</v>
      </c>
      <c r="B956" s="3" t="s">
        <v>8</v>
      </c>
      <c r="C956" s="4">
        <v>46315.362699999998</v>
      </c>
      <c r="D956" s="5">
        <v>52206.094599999997</v>
      </c>
    </row>
    <row r="957" spans="1:4" s="1" customFormat="1" ht="19.75" customHeight="1" x14ac:dyDescent="0.25">
      <c r="A957" s="8">
        <f>2015</f>
        <v>2015</v>
      </c>
      <c r="B957" s="3" t="s">
        <v>104</v>
      </c>
      <c r="C957" s="6">
        <v>21615.161899999999</v>
      </c>
      <c r="D957" s="7">
        <v>23724.7559</v>
      </c>
    </row>
    <row r="958" spans="1:4" s="1" customFormat="1" ht="19.75" customHeight="1" x14ac:dyDescent="0.25">
      <c r="A958" s="8">
        <f>2015</f>
        <v>2015</v>
      </c>
      <c r="B958" s="3" t="s">
        <v>10</v>
      </c>
      <c r="C958" s="4">
        <v>19358.9925</v>
      </c>
      <c r="D958" s="5">
        <v>21362.536499999998</v>
      </c>
    </row>
    <row r="959" spans="1:4" s="1" customFormat="1" ht="19.75" customHeight="1" x14ac:dyDescent="0.25">
      <c r="A959" s="8">
        <f>2015</f>
        <v>2015</v>
      </c>
      <c r="B959" s="3" t="s">
        <v>11</v>
      </c>
      <c r="C959" s="6">
        <v>32083.962100000001</v>
      </c>
      <c r="D959" s="7">
        <v>35606.9643</v>
      </c>
    </row>
    <row r="960" spans="1:4" s="1" customFormat="1" ht="19.75" customHeight="1" x14ac:dyDescent="0.25">
      <c r="A960" s="8">
        <f>2015</f>
        <v>2015</v>
      </c>
      <c r="B960" s="3" t="s">
        <v>105</v>
      </c>
      <c r="C960" s="4">
        <v>10180.477699999999</v>
      </c>
      <c r="D960" s="5">
        <v>11927.3892</v>
      </c>
    </row>
    <row r="961" spans="1:4" s="1" customFormat="1" ht="19.75" customHeight="1" x14ac:dyDescent="0.25">
      <c r="A961" s="8">
        <f>2015</f>
        <v>2015</v>
      </c>
      <c r="B961" s="3" t="s">
        <v>109</v>
      </c>
      <c r="C961" s="6">
        <v>12273.5265</v>
      </c>
      <c r="D961" s="7">
        <v>13152.490599999999</v>
      </c>
    </row>
    <row r="962" spans="1:4" s="1" customFormat="1" ht="19.75" customHeight="1" x14ac:dyDescent="0.25">
      <c r="A962" s="8">
        <f>2015</f>
        <v>2015</v>
      </c>
      <c r="B962" s="3" t="s">
        <v>12</v>
      </c>
      <c r="C962" s="4">
        <v>35478.597699999998</v>
      </c>
      <c r="D962" s="5">
        <v>43843.643499999998</v>
      </c>
    </row>
    <row r="963" spans="1:4" s="1" customFormat="1" ht="19.75" customHeight="1" x14ac:dyDescent="0.25">
      <c r="A963" s="8">
        <f>2015</f>
        <v>2015</v>
      </c>
      <c r="B963" s="3" t="s">
        <v>14</v>
      </c>
      <c r="C963" s="6">
        <v>2698.8562999999999</v>
      </c>
      <c r="D963" s="7">
        <v>3102.9605999999999</v>
      </c>
    </row>
    <row r="964" spans="1:4" s="1" customFormat="1" ht="19.75" customHeight="1" x14ac:dyDescent="0.25">
      <c r="A964" s="8">
        <f>2015</f>
        <v>2015</v>
      </c>
      <c r="B964" s="3" t="s">
        <v>15</v>
      </c>
      <c r="C964" s="4">
        <v>1544.5543</v>
      </c>
      <c r="D964" s="5">
        <v>1671.8956000000001</v>
      </c>
    </row>
    <row r="965" spans="1:4" s="1" customFormat="1" ht="19.75" customHeight="1" x14ac:dyDescent="0.25">
      <c r="A965" s="8">
        <f>2015</f>
        <v>2015</v>
      </c>
      <c r="B965" s="3" t="s">
        <v>16</v>
      </c>
      <c r="C965" s="6">
        <v>1422.4223</v>
      </c>
      <c r="D965" s="7">
        <v>1588.1378999999999</v>
      </c>
    </row>
    <row r="966" spans="1:4" s="1" customFormat="1" ht="19.75" customHeight="1" x14ac:dyDescent="0.25">
      <c r="A966" s="8">
        <f>2015</f>
        <v>2015</v>
      </c>
      <c r="B966" s="3" t="s">
        <v>17</v>
      </c>
      <c r="C966" s="4">
        <v>1283.5942</v>
      </c>
      <c r="D966" s="5">
        <v>1368.5396000000001</v>
      </c>
    </row>
    <row r="967" spans="1:4" s="1" customFormat="1" ht="19.75" customHeight="1" x14ac:dyDescent="0.25">
      <c r="A967" s="8">
        <f>2015</f>
        <v>2015</v>
      </c>
      <c r="B967" s="3" t="s">
        <v>18</v>
      </c>
      <c r="C967" s="6">
        <v>7419.4677000000001</v>
      </c>
      <c r="D967" s="7">
        <v>8297.7736000000004</v>
      </c>
    </row>
    <row r="968" spans="1:4" s="1" customFormat="1" ht="19.75" customHeight="1" x14ac:dyDescent="0.25">
      <c r="A968" s="8">
        <f>2015</f>
        <v>2015</v>
      </c>
      <c r="B968" s="3" t="s">
        <v>19</v>
      </c>
      <c r="C968" s="4">
        <v>48469.904399999999</v>
      </c>
      <c r="D968" s="5">
        <v>57466.256500000003</v>
      </c>
    </row>
    <row r="969" spans="1:4" s="1" customFormat="1" ht="19.75" customHeight="1" x14ac:dyDescent="0.25">
      <c r="A969" s="8">
        <f>2015</f>
        <v>2015</v>
      </c>
      <c r="B969" s="3" t="s">
        <v>20</v>
      </c>
      <c r="C969" s="6">
        <v>49091.139900000002</v>
      </c>
      <c r="D969" s="7">
        <v>61267.270400000001</v>
      </c>
    </row>
    <row r="970" spans="1:4" s="1" customFormat="1" ht="19.75" customHeight="1" x14ac:dyDescent="0.25">
      <c r="A970" s="8">
        <f>2015</f>
        <v>2015</v>
      </c>
      <c r="B970" s="3" t="s">
        <v>23</v>
      </c>
      <c r="C970" s="4">
        <v>9691.9639000000006</v>
      </c>
      <c r="D970" s="5">
        <v>12239.967199999999</v>
      </c>
    </row>
    <row r="971" spans="1:4" s="1" customFormat="1" ht="19.75" customHeight="1" x14ac:dyDescent="0.25">
      <c r="A971" s="8">
        <f>2015</f>
        <v>2015</v>
      </c>
      <c r="B971" s="3" t="s">
        <v>120</v>
      </c>
      <c r="C971" s="6">
        <v>5800.7334000000001</v>
      </c>
      <c r="D971" s="7">
        <v>6614.2263999999996</v>
      </c>
    </row>
    <row r="972" spans="1:4" s="1" customFormat="1" ht="19.75" customHeight="1" x14ac:dyDescent="0.25">
      <c r="A972" s="8">
        <f>2015</f>
        <v>2015</v>
      </c>
      <c r="B972" s="3" t="s">
        <v>24</v>
      </c>
      <c r="C972" s="4">
        <v>7061.1306000000004</v>
      </c>
      <c r="D972" s="5">
        <v>7655.0990000000002</v>
      </c>
    </row>
    <row r="973" spans="1:4" s="1" customFormat="1" ht="19.75" customHeight="1" x14ac:dyDescent="0.25">
      <c r="A973" s="8">
        <f>2015</f>
        <v>2015</v>
      </c>
      <c r="B973" s="3" t="s">
        <v>25</v>
      </c>
      <c r="C973" s="6">
        <v>4698.4192999999996</v>
      </c>
      <c r="D973" s="7">
        <v>5205.4143999999997</v>
      </c>
    </row>
    <row r="974" spans="1:4" s="1" customFormat="1" ht="19.75" customHeight="1" x14ac:dyDescent="0.25">
      <c r="A974" s="8">
        <f>2015</f>
        <v>2015</v>
      </c>
      <c r="B974" s="3" t="s">
        <v>26</v>
      </c>
      <c r="C974" s="4">
        <v>5395.8753999999999</v>
      </c>
      <c r="D974" s="5">
        <v>5976.7155000000002</v>
      </c>
    </row>
    <row r="975" spans="1:4" s="1" customFormat="1" ht="19.75" customHeight="1" x14ac:dyDescent="0.25">
      <c r="A975" s="8">
        <f>2015</f>
        <v>2015</v>
      </c>
      <c r="B975" s="3" t="s">
        <v>27</v>
      </c>
      <c r="C975" s="6">
        <v>9719.8670000000002</v>
      </c>
      <c r="D975" s="7">
        <v>11748.320900000001</v>
      </c>
    </row>
    <row r="976" spans="1:4" s="1" customFormat="1" ht="19.75" customHeight="1" x14ac:dyDescent="0.25">
      <c r="A976" s="8">
        <f>2015</f>
        <v>2015</v>
      </c>
      <c r="B976" s="3" t="s">
        <v>106</v>
      </c>
      <c r="C976" s="4">
        <v>2214.5309000000002</v>
      </c>
      <c r="D976" s="5">
        <v>2498.5645</v>
      </c>
    </row>
    <row r="977" spans="1:4" s="1" customFormat="1" ht="19.75" customHeight="1" x14ac:dyDescent="0.25">
      <c r="A977" s="8">
        <f>2015</f>
        <v>2015</v>
      </c>
      <c r="B977" s="3" t="s">
        <v>28</v>
      </c>
      <c r="C977" s="6">
        <v>507.55509999999998</v>
      </c>
      <c r="D977" s="7">
        <v>556.75689999999997</v>
      </c>
    </row>
    <row r="978" spans="1:4" s="1" customFormat="1" ht="19.75" customHeight="1" x14ac:dyDescent="0.25">
      <c r="A978" s="8">
        <f>2015</f>
        <v>2015</v>
      </c>
      <c r="B978" s="3" t="s">
        <v>29</v>
      </c>
      <c r="C978" s="4">
        <v>1953.0864999999999</v>
      </c>
      <c r="D978" s="5">
        <v>2356.4931999999999</v>
      </c>
    </row>
    <row r="979" spans="1:4" s="1" customFormat="1" ht="19.75" customHeight="1" x14ac:dyDescent="0.25">
      <c r="A979" s="8">
        <f>2015</f>
        <v>2015</v>
      </c>
      <c r="B979" s="3" t="s">
        <v>30</v>
      </c>
      <c r="C979" s="6">
        <v>5286.2231000000002</v>
      </c>
      <c r="D979" s="7">
        <v>5783.2947999999997</v>
      </c>
    </row>
    <row r="980" spans="1:4" s="1" customFormat="1" ht="19.75" customHeight="1" x14ac:dyDescent="0.25">
      <c r="A980" s="8">
        <f>2015</f>
        <v>2015</v>
      </c>
      <c r="B980" s="3" t="s">
        <v>31</v>
      </c>
      <c r="C980" s="4">
        <v>2835.5315000000001</v>
      </c>
      <c r="D980" s="5">
        <v>3127.4137000000001</v>
      </c>
    </row>
    <row r="981" spans="1:4" s="1" customFormat="1" ht="19.75" customHeight="1" x14ac:dyDescent="0.25">
      <c r="A981" s="8">
        <f>2015</f>
        <v>2015</v>
      </c>
      <c r="B981" s="3" t="s">
        <v>32</v>
      </c>
      <c r="C981" s="6">
        <v>11572.0065</v>
      </c>
      <c r="D981" s="7">
        <v>13618.461600000001</v>
      </c>
    </row>
    <row r="982" spans="1:4" s="1" customFormat="1" ht="19.75" customHeight="1" x14ac:dyDescent="0.25">
      <c r="A982" s="8">
        <f>2015</f>
        <v>2015</v>
      </c>
      <c r="B982" s="3" t="s">
        <v>92</v>
      </c>
      <c r="C982" s="4">
        <v>7.9714</v>
      </c>
      <c r="D982" s="5">
        <v>34.058500000000002</v>
      </c>
    </row>
    <row r="983" spans="1:4" s="1" customFormat="1" ht="19.75" customHeight="1" x14ac:dyDescent="0.25">
      <c r="A983" s="8">
        <f>2015</f>
        <v>2015</v>
      </c>
      <c r="B983" s="3" t="s">
        <v>97</v>
      </c>
      <c r="C983" s="6">
        <v>182.16220000000001</v>
      </c>
      <c r="D983" s="7">
        <v>196.01679999999999</v>
      </c>
    </row>
    <row r="984" spans="1:4" s="1" customFormat="1" ht="19.75" customHeight="1" x14ac:dyDescent="0.25">
      <c r="A984" s="8">
        <f>2015</f>
        <v>2015</v>
      </c>
      <c r="B984" s="3" t="s">
        <v>34</v>
      </c>
      <c r="C984" s="4">
        <v>146.08459999999999</v>
      </c>
      <c r="D984" s="5">
        <v>866.49069999999995</v>
      </c>
    </row>
    <row r="985" spans="1:4" s="1" customFormat="1" ht="30.4" customHeight="1" x14ac:dyDescent="0.25">
      <c r="A985" s="8">
        <f>2015</f>
        <v>2015</v>
      </c>
      <c r="B985" s="3" t="s">
        <v>35</v>
      </c>
      <c r="C985" s="6">
        <v>284.4271</v>
      </c>
      <c r="D985" s="7">
        <v>407.67619999999999</v>
      </c>
    </row>
    <row r="986" spans="1:4" s="1" customFormat="1" ht="19.75" customHeight="1" x14ac:dyDescent="0.25">
      <c r="A986" s="8">
        <f>2015</f>
        <v>2015</v>
      </c>
      <c r="B986" s="3" t="s">
        <v>36</v>
      </c>
      <c r="C986" s="4">
        <v>1613.6528000000001</v>
      </c>
      <c r="D986" s="5">
        <v>2304.7863000000002</v>
      </c>
    </row>
    <row r="987" spans="1:4" s="1" customFormat="1" ht="19.75" customHeight="1" x14ac:dyDescent="0.25">
      <c r="A987" s="8">
        <f>2015</f>
        <v>2015</v>
      </c>
      <c r="B987" s="3" t="s">
        <v>37</v>
      </c>
      <c r="C987" s="6">
        <v>106.919</v>
      </c>
      <c r="D987" s="7">
        <v>120.22029999999999</v>
      </c>
    </row>
    <row r="988" spans="1:4" s="1" customFormat="1" ht="19.75" customHeight="1" x14ac:dyDescent="0.25">
      <c r="A988" s="8">
        <f>2015</f>
        <v>2015</v>
      </c>
      <c r="B988" s="3" t="s">
        <v>38</v>
      </c>
      <c r="C988" s="4">
        <v>32.258800000000001</v>
      </c>
      <c r="D988" s="5">
        <v>38.758299999999998</v>
      </c>
    </row>
    <row r="989" spans="1:4" s="1" customFormat="1" ht="19.75" customHeight="1" x14ac:dyDescent="0.25">
      <c r="A989" s="8">
        <f>2015</f>
        <v>2015</v>
      </c>
      <c r="B989" s="3" t="s">
        <v>40</v>
      </c>
      <c r="C989" s="6">
        <v>757.88810000000001</v>
      </c>
      <c r="D989" s="7">
        <v>981.54380000000003</v>
      </c>
    </row>
    <row r="990" spans="1:4" s="1" customFormat="1" ht="19.75" customHeight="1" x14ac:dyDescent="0.25">
      <c r="A990" s="8">
        <f>2015</f>
        <v>2015</v>
      </c>
      <c r="B990" s="3" t="s">
        <v>41</v>
      </c>
      <c r="C990" s="4">
        <v>1702.1059</v>
      </c>
      <c r="D990" s="5">
        <v>2019.47</v>
      </c>
    </row>
    <row r="991" spans="1:4" s="1" customFormat="1" ht="19.75" customHeight="1" x14ac:dyDescent="0.25">
      <c r="A991" s="8">
        <f>2015</f>
        <v>2015</v>
      </c>
      <c r="B991" s="3" t="s">
        <v>42</v>
      </c>
      <c r="C991" s="6">
        <v>1689.9105999999999</v>
      </c>
      <c r="D991" s="7">
        <v>2030.6701</v>
      </c>
    </row>
    <row r="992" spans="1:4" s="1" customFormat="1" ht="19.75" customHeight="1" x14ac:dyDescent="0.25">
      <c r="A992" s="8">
        <f>2015</f>
        <v>2015</v>
      </c>
      <c r="B992" s="3" t="s">
        <v>43</v>
      </c>
      <c r="C992" s="4">
        <v>10210.530000000001</v>
      </c>
      <c r="D992" s="5">
        <v>13541.62</v>
      </c>
    </row>
    <row r="993" spans="1:4" s="1" customFormat="1" ht="19.75" customHeight="1" x14ac:dyDescent="0.25">
      <c r="A993" s="8">
        <f>2015</f>
        <v>2015</v>
      </c>
      <c r="B993" s="3" t="s">
        <v>118</v>
      </c>
      <c r="C993" s="6">
        <v>36.912999999999997</v>
      </c>
      <c r="D993" s="7">
        <v>37.196899999999999</v>
      </c>
    </row>
    <row r="994" spans="1:4" s="1" customFormat="1" ht="19.75" customHeight="1" x14ac:dyDescent="0.25">
      <c r="A994" s="8">
        <f>2015</f>
        <v>2015</v>
      </c>
      <c r="B994" s="3" t="s">
        <v>44</v>
      </c>
      <c r="C994" s="4">
        <v>139.5437</v>
      </c>
      <c r="D994" s="5">
        <v>187</v>
      </c>
    </row>
    <row r="995" spans="1:4" s="1" customFormat="1" ht="19.75" customHeight="1" x14ac:dyDescent="0.25">
      <c r="A995" s="8">
        <f>2015</f>
        <v>2015</v>
      </c>
      <c r="B995" s="3" t="s">
        <v>45</v>
      </c>
      <c r="C995" s="6">
        <v>380.50799999999998</v>
      </c>
      <c r="D995" s="7">
        <v>488.50229999999999</v>
      </c>
    </row>
    <row r="996" spans="1:4" s="1" customFormat="1" ht="19.75" customHeight="1" x14ac:dyDescent="0.25">
      <c r="A996" s="8">
        <f>2015</f>
        <v>2015</v>
      </c>
      <c r="B996" s="3" t="s">
        <v>93</v>
      </c>
      <c r="C996" s="4">
        <v>692.66780000000006</v>
      </c>
      <c r="D996" s="5">
        <v>981.90189999999996</v>
      </c>
    </row>
    <row r="997" spans="1:4" s="1" customFormat="1" ht="19.75" customHeight="1" x14ac:dyDescent="0.25">
      <c r="A997" s="8">
        <f>2015</f>
        <v>2015</v>
      </c>
      <c r="B997" s="3" t="s">
        <v>46</v>
      </c>
      <c r="C997" s="6">
        <v>49.720599999999997</v>
      </c>
      <c r="D997" s="7">
        <v>54.095799999999997</v>
      </c>
    </row>
    <row r="998" spans="1:4" s="1" customFormat="1" ht="19.75" customHeight="1" x14ac:dyDescent="0.25">
      <c r="A998" s="8">
        <f>2015</f>
        <v>2015</v>
      </c>
      <c r="B998" s="3" t="s">
        <v>47</v>
      </c>
      <c r="C998" s="4">
        <v>2332.7168000000001</v>
      </c>
      <c r="D998" s="5">
        <v>2559.4047</v>
      </c>
    </row>
    <row r="999" spans="1:4" s="1" customFormat="1" ht="19.75" customHeight="1" x14ac:dyDescent="0.25">
      <c r="A999" s="8">
        <f>2015</f>
        <v>2015</v>
      </c>
      <c r="B999" s="3" t="s">
        <v>48</v>
      </c>
      <c r="C999" s="6">
        <v>4429.9929000000002</v>
      </c>
      <c r="D999" s="7">
        <v>5806.3288000000002</v>
      </c>
    </row>
    <row r="1000" spans="1:4" s="1" customFormat="1" ht="19.75" customHeight="1" x14ac:dyDescent="0.25">
      <c r="A1000" s="8">
        <f>2015</f>
        <v>2015</v>
      </c>
      <c r="B1000" s="3" t="s">
        <v>49</v>
      </c>
      <c r="C1000" s="4">
        <v>9.8585999999999991</v>
      </c>
      <c r="D1000" s="5">
        <v>9.8585999999999991</v>
      </c>
    </row>
    <row r="1001" spans="1:4" s="1" customFormat="1" ht="19.75" customHeight="1" x14ac:dyDescent="0.25">
      <c r="A1001" s="8">
        <f>2015</f>
        <v>2015</v>
      </c>
      <c r="B1001" s="3" t="s">
        <v>52</v>
      </c>
      <c r="C1001" s="6">
        <v>105.84910000000001</v>
      </c>
      <c r="D1001" s="7">
        <v>132.05240000000001</v>
      </c>
    </row>
    <row r="1002" spans="1:4" s="1" customFormat="1" ht="19.75" customHeight="1" x14ac:dyDescent="0.25">
      <c r="A1002" s="8">
        <f>2015</f>
        <v>2015</v>
      </c>
      <c r="B1002" s="3" t="s">
        <v>98</v>
      </c>
      <c r="C1002" s="4">
        <v>8372.5501000000004</v>
      </c>
      <c r="D1002" s="5">
        <v>10463.9331</v>
      </c>
    </row>
    <row r="1003" spans="1:4" s="1" customFormat="1" ht="19.75" customHeight="1" x14ac:dyDescent="0.25">
      <c r="A1003" s="8">
        <f>2015</f>
        <v>2015</v>
      </c>
      <c r="B1003" s="3" t="s">
        <v>121</v>
      </c>
      <c r="C1003" s="6">
        <v>14.6151</v>
      </c>
      <c r="D1003" s="7">
        <v>14.7768</v>
      </c>
    </row>
    <row r="1004" spans="1:4" s="1" customFormat="1" ht="19.75" customHeight="1" x14ac:dyDescent="0.25">
      <c r="A1004" s="8">
        <f>2015</f>
        <v>2015</v>
      </c>
      <c r="B1004" s="3" t="s">
        <v>53</v>
      </c>
      <c r="C1004" s="4">
        <v>109.7931</v>
      </c>
      <c r="D1004" s="5">
        <v>128.99430000000001</v>
      </c>
    </row>
    <row r="1005" spans="1:4" s="1" customFormat="1" ht="19.75" customHeight="1" x14ac:dyDescent="0.25">
      <c r="A1005" s="8">
        <f>2015</f>
        <v>2015</v>
      </c>
      <c r="B1005" s="3" t="s">
        <v>55</v>
      </c>
      <c r="C1005" s="6">
        <v>1731.9043999999999</v>
      </c>
      <c r="D1005" s="7">
        <v>2606.5929000000001</v>
      </c>
    </row>
    <row r="1006" spans="1:4" s="1" customFormat="1" ht="19.75" customHeight="1" x14ac:dyDescent="0.25">
      <c r="A1006" s="8">
        <f>2015</f>
        <v>2015</v>
      </c>
      <c r="B1006" s="3" t="s">
        <v>56</v>
      </c>
      <c r="C1006" s="4">
        <v>15.3489</v>
      </c>
      <c r="D1006" s="5">
        <v>17.488499999999998</v>
      </c>
    </row>
    <row r="1007" spans="1:4" s="1" customFormat="1" ht="19.75" customHeight="1" x14ac:dyDescent="0.25">
      <c r="A1007" s="8">
        <f>2015</f>
        <v>2015</v>
      </c>
      <c r="B1007" s="3" t="s">
        <v>119</v>
      </c>
      <c r="C1007" s="6">
        <v>59.765900000000002</v>
      </c>
      <c r="D1007" s="7">
        <v>72.086299999999994</v>
      </c>
    </row>
    <row r="1008" spans="1:4" s="1" customFormat="1" ht="19.75" customHeight="1" x14ac:dyDescent="0.25">
      <c r="A1008" s="8">
        <f>2015</f>
        <v>2015</v>
      </c>
      <c r="B1008" s="3" t="s">
        <v>94</v>
      </c>
      <c r="C1008" s="4">
        <v>24.216200000000001</v>
      </c>
      <c r="D1008" s="5">
        <v>25.564900000000002</v>
      </c>
    </row>
    <row r="1009" spans="1:4" s="1" customFormat="1" ht="19.75" customHeight="1" x14ac:dyDescent="0.25">
      <c r="A1009" s="8">
        <f>2015</f>
        <v>2015</v>
      </c>
      <c r="B1009" s="3" t="s">
        <v>59</v>
      </c>
      <c r="C1009" s="6">
        <v>14.9739</v>
      </c>
      <c r="D1009" s="7">
        <v>44.764899999999997</v>
      </c>
    </row>
    <row r="1010" spans="1:4" s="1" customFormat="1" ht="19.75" customHeight="1" x14ac:dyDescent="0.25">
      <c r="A1010" s="8">
        <f>2015</f>
        <v>2015</v>
      </c>
      <c r="B1010" s="3" t="s">
        <v>60</v>
      </c>
      <c r="C1010" s="4">
        <v>712.44730000000004</v>
      </c>
      <c r="D1010" s="5">
        <v>711.5421</v>
      </c>
    </row>
    <row r="1011" spans="1:4" s="1" customFormat="1" ht="19.75" customHeight="1" x14ac:dyDescent="0.25">
      <c r="A1011" s="8">
        <f>2015</f>
        <v>2015</v>
      </c>
      <c r="B1011" s="3" t="s">
        <v>61</v>
      </c>
      <c r="C1011" s="6">
        <v>1127.6827000000001</v>
      </c>
      <c r="D1011" s="7">
        <v>1393.0120999999999</v>
      </c>
    </row>
    <row r="1012" spans="1:4" s="1" customFormat="1" ht="19.75" customHeight="1" x14ac:dyDescent="0.25">
      <c r="A1012" s="8">
        <f>2015</f>
        <v>2015</v>
      </c>
      <c r="B1012" s="3" t="s">
        <v>110</v>
      </c>
      <c r="C1012" s="4">
        <v>61.028399999999998</v>
      </c>
      <c r="D1012" s="5">
        <v>68.380799999999994</v>
      </c>
    </row>
    <row r="1013" spans="1:4" s="1" customFormat="1" ht="19.75" customHeight="1" x14ac:dyDescent="0.25">
      <c r="A1013" s="8">
        <f>2015</f>
        <v>2015</v>
      </c>
      <c r="B1013" s="3" t="s">
        <v>64</v>
      </c>
      <c r="C1013" s="6">
        <v>20.760899999999999</v>
      </c>
      <c r="D1013" s="7">
        <v>22.382200000000001</v>
      </c>
    </row>
    <row r="1014" spans="1:4" s="1" customFormat="1" ht="19.75" customHeight="1" x14ac:dyDescent="0.25">
      <c r="A1014" s="8">
        <f>2015</f>
        <v>2015</v>
      </c>
      <c r="B1014" s="3" t="s">
        <v>66</v>
      </c>
      <c r="C1014" s="4">
        <v>46.809699999999999</v>
      </c>
      <c r="D1014" s="5">
        <v>53.057499999999997</v>
      </c>
    </row>
    <row r="1015" spans="1:4" s="1" customFormat="1" ht="19.75" customHeight="1" x14ac:dyDescent="0.25">
      <c r="A1015" s="8">
        <f>2015</f>
        <v>2015</v>
      </c>
      <c r="B1015" s="3" t="s">
        <v>67</v>
      </c>
      <c r="C1015" s="6">
        <v>146.71080000000001</v>
      </c>
      <c r="D1015" s="7">
        <v>152.18709999999999</v>
      </c>
    </row>
    <row r="1016" spans="1:4" s="1" customFormat="1" ht="19.75" customHeight="1" x14ac:dyDescent="0.25">
      <c r="A1016" s="8">
        <f>2015</f>
        <v>2015</v>
      </c>
      <c r="B1016" s="3" t="s">
        <v>68</v>
      </c>
      <c r="C1016" s="4">
        <v>288.06889999999999</v>
      </c>
      <c r="D1016" s="5">
        <v>315.51150000000001</v>
      </c>
    </row>
    <row r="1017" spans="1:4" s="1" customFormat="1" ht="19.75" customHeight="1" x14ac:dyDescent="0.25">
      <c r="A1017" s="8">
        <f>2015</f>
        <v>2015</v>
      </c>
      <c r="B1017" s="3" t="s">
        <v>69</v>
      </c>
      <c r="C1017" s="6">
        <v>380.36309999999997</v>
      </c>
      <c r="D1017" s="7">
        <v>439.1311</v>
      </c>
    </row>
    <row r="1018" spans="1:4" s="1" customFormat="1" ht="19.75" customHeight="1" x14ac:dyDescent="0.25">
      <c r="A1018" s="8">
        <f>2015</f>
        <v>2015</v>
      </c>
      <c r="B1018" s="3" t="s">
        <v>95</v>
      </c>
      <c r="C1018" s="4">
        <v>3.6886000000000001</v>
      </c>
      <c r="D1018" s="5">
        <v>10.2781</v>
      </c>
    </row>
    <row r="1019" spans="1:4" s="1" customFormat="1" ht="19.75" customHeight="1" x14ac:dyDescent="0.25">
      <c r="A1019" s="8">
        <f>2015</f>
        <v>2015</v>
      </c>
      <c r="B1019" s="3" t="s">
        <v>71</v>
      </c>
      <c r="C1019" s="6">
        <v>10144.537</v>
      </c>
      <c r="D1019" s="7">
        <v>13449.17</v>
      </c>
    </row>
    <row r="1020" spans="1:4" s="1" customFormat="1" ht="19.75" customHeight="1" x14ac:dyDescent="0.25">
      <c r="A1020" s="8">
        <f>2015</f>
        <v>2015</v>
      </c>
      <c r="B1020" s="3" t="s">
        <v>72</v>
      </c>
      <c r="C1020" s="4">
        <v>358.7124</v>
      </c>
      <c r="D1020" s="5">
        <v>389.24310000000003</v>
      </c>
    </row>
    <row r="1021" spans="1:4" s="1" customFormat="1" ht="19.75" customHeight="1" x14ac:dyDescent="0.25">
      <c r="A1021" s="8">
        <f>2015</f>
        <v>2015</v>
      </c>
      <c r="B1021" s="3" t="s">
        <v>99</v>
      </c>
      <c r="C1021" s="6">
        <v>1430.6477</v>
      </c>
      <c r="D1021" s="7">
        <v>1765.2927</v>
      </c>
    </row>
    <row r="1022" spans="1:4" s="1" customFormat="1" ht="19.75" customHeight="1" x14ac:dyDescent="0.25">
      <c r="A1022" s="8">
        <f>2015</f>
        <v>2015</v>
      </c>
      <c r="B1022" s="3" t="s">
        <v>74</v>
      </c>
      <c r="C1022" s="4">
        <v>157.59370000000001</v>
      </c>
      <c r="D1022" s="5">
        <v>157.53659999999999</v>
      </c>
    </row>
    <row r="1023" spans="1:4" s="1" customFormat="1" ht="19.75" customHeight="1" x14ac:dyDescent="0.25">
      <c r="A1023" s="8">
        <f>2015</f>
        <v>2015</v>
      </c>
      <c r="B1023" s="3" t="s">
        <v>75</v>
      </c>
      <c r="C1023" s="6">
        <v>69.665000000000006</v>
      </c>
      <c r="D1023" s="7">
        <v>76.909300000000002</v>
      </c>
    </row>
    <row r="1024" spans="1:4" s="1" customFormat="1" ht="19.75" customHeight="1" x14ac:dyDescent="0.25">
      <c r="A1024" s="8">
        <f>2015</f>
        <v>2015</v>
      </c>
      <c r="B1024" s="3" t="s">
        <v>107</v>
      </c>
      <c r="C1024" s="4">
        <v>174.89709999999999</v>
      </c>
      <c r="D1024" s="5">
        <v>169.44399999999999</v>
      </c>
    </row>
    <row r="1025" spans="1:4" s="1" customFormat="1" ht="19.75" customHeight="1" x14ac:dyDescent="0.25">
      <c r="A1025" s="8">
        <f>2015</f>
        <v>2015</v>
      </c>
      <c r="B1025" s="3" t="s">
        <v>76</v>
      </c>
      <c r="C1025" s="6">
        <v>66.903899999999993</v>
      </c>
      <c r="D1025" s="7">
        <v>70.663399999999996</v>
      </c>
    </row>
    <row r="1026" spans="1:4" s="1" customFormat="1" ht="19.75" customHeight="1" x14ac:dyDescent="0.25">
      <c r="A1026" s="8">
        <f>2014</f>
        <v>2014</v>
      </c>
      <c r="B1026" s="3" t="s">
        <v>112</v>
      </c>
      <c r="C1026" s="4">
        <v>8168.5631000000003</v>
      </c>
      <c r="D1026" s="5">
        <v>9044.8999000000003</v>
      </c>
    </row>
    <row r="1027" spans="1:4" s="1" customFormat="1" ht="19.75" customHeight="1" x14ac:dyDescent="0.25">
      <c r="A1027" s="8">
        <f>2014</f>
        <v>2014</v>
      </c>
      <c r="B1027" s="3" t="s">
        <v>113</v>
      </c>
      <c r="C1027" s="6">
        <v>13466.8102</v>
      </c>
      <c r="D1027" s="7">
        <v>14449.269899999999</v>
      </c>
    </row>
    <row r="1028" spans="1:4" s="1" customFormat="1" ht="19.75" customHeight="1" x14ac:dyDescent="0.25">
      <c r="A1028" s="8">
        <f>2014</f>
        <v>2014</v>
      </c>
      <c r="B1028" s="3" t="s">
        <v>9</v>
      </c>
      <c r="C1028" s="4">
        <v>136350.8039</v>
      </c>
      <c r="D1028" s="5">
        <v>154903.72029999999</v>
      </c>
    </row>
    <row r="1029" spans="1:4" s="1" customFormat="1" ht="19.75" customHeight="1" x14ac:dyDescent="0.25">
      <c r="A1029" s="8">
        <f>2014</f>
        <v>2014</v>
      </c>
      <c r="B1029" s="3" t="s">
        <v>114</v>
      </c>
      <c r="C1029" s="6">
        <v>6322.8553000000002</v>
      </c>
      <c r="D1029" s="7">
        <v>6895.4197999999997</v>
      </c>
    </row>
    <row r="1030" spans="1:4" s="1" customFormat="1" ht="19.75" customHeight="1" x14ac:dyDescent="0.25">
      <c r="A1030" s="8">
        <f>2014</f>
        <v>2014</v>
      </c>
      <c r="B1030" s="3" t="s">
        <v>115</v>
      </c>
      <c r="C1030" s="4">
        <v>10156.608399999999</v>
      </c>
      <c r="D1030" s="5">
        <v>11027.893599999999</v>
      </c>
    </row>
    <row r="1031" spans="1:4" s="1" customFormat="1" ht="19.75" customHeight="1" x14ac:dyDescent="0.25">
      <c r="A1031" s="8">
        <f>2014</f>
        <v>2014</v>
      </c>
      <c r="B1031" s="3" t="s">
        <v>116</v>
      </c>
      <c r="C1031" s="6">
        <v>9706.5522000000001</v>
      </c>
      <c r="D1031" s="7">
        <v>10558.4995</v>
      </c>
    </row>
    <row r="1032" spans="1:4" s="1" customFormat="1" ht="19.75" customHeight="1" x14ac:dyDescent="0.25">
      <c r="A1032" s="8">
        <f>2014</f>
        <v>2014</v>
      </c>
      <c r="B1032" s="3" t="s">
        <v>100</v>
      </c>
      <c r="C1032" s="4">
        <v>18746.682499999999</v>
      </c>
      <c r="D1032" s="5">
        <v>20912.4336</v>
      </c>
    </row>
    <row r="1033" spans="1:4" s="1" customFormat="1" ht="19.75" customHeight="1" x14ac:dyDescent="0.25">
      <c r="A1033" s="8">
        <f>2014</f>
        <v>2014</v>
      </c>
      <c r="B1033" s="3" t="s">
        <v>101</v>
      </c>
      <c r="C1033" s="6">
        <v>14297.315000000001</v>
      </c>
      <c r="D1033" s="7">
        <v>15630.157999999999</v>
      </c>
    </row>
    <row r="1034" spans="1:4" s="1" customFormat="1" ht="19.75" customHeight="1" x14ac:dyDescent="0.25">
      <c r="A1034" s="8">
        <f>2014</f>
        <v>2014</v>
      </c>
      <c r="B1034" s="3" t="s">
        <v>0</v>
      </c>
      <c r="C1034" s="4">
        <v>38939.709499999997</v>
      </c>
      <c r="D1034" s="5">
        <v>43402.453600000001</v>
      </c>
    </row>
    <row r="1035" spans="1:4" s="1" customFormat="1" ht="19.75" customHeight="1" x14ac:dyDescent="0.25">
      <c r="A1035" s="8">
        <f>2014</f>
        <v>2014</v>
      </c>
      <c r="B1035" s="3" t="s">
        <v>1</v>
      </c>
      <c r="C1035" s="6">
        <v>37910.101600000002</v>
      </c>
      <c r="D1035" s="7">
        <v>42201.941200000001</v>
      </c>
    </row>
    <row r="1036" spans="1:4" s="1" customFormat="1" ht="19.75" customHeight="1" x14ac:dyDescent="0.25">
      <c r="A1036" s="8">
        <f>2014</f>
        <v>2014</v>
      </c>
      <c r="B1036" s="3" t="s">
        <v>2</v>
      </c>
      <c r="C1036" s="4">
        <v>11956.656800000001</v>
      </c>
      <c r="D1036" s="5">
        <v>12850.8467</v>
      </c>
    </row>
    <row r="1037" spans="1:4" s="1" customFormat="1" ht="19.75" customHeight="1" x14ac:dyDescent="0.25">
      <c r="A1037" s="8">
        <f>2014</f>
        <v>2014</v>
      </c>
      <c r="B1037" s="3" t="s">
        <v>117</v>
      </c>
      <c r="C1037" s="6">
        <v>42.516800000000003</v>
      </c>
      <c r="D1037" s="7">
        <v>45.293999999999997</v>
      </c>
    </row>
    <row r="1038" spans="1:4" s="1" customFormat="1" ht="19.75" customHeight="1" x14ac:dyDescent="0.25">
      <c r="A1038" s="8">
        <f>2014</f>
        <v>2014</v>
      </c>
      <c r="B1038" s="3" t="s">
        <v>3</v>
      </c>
      <c r="C1038" s="4">
        <v>39547.611799999999</v>
      </c>
      <c r="D1038" s="5">
        <v>43480.368000000002</v>
      </c>
    </row>
    <row r="1039" spans="1:4" s="1" customFormat="1" ht="19.75" customHeight="1" x14ac:dyDescent="0.25">
      <c r="A1039" s="8">
        <f>2014</f>
        <v>2014</v>
      </c>
      <c r="B1039" s="3" t="s">
        <v>4</v>
      </c>
      <c r="C1039" s="6">
        <v>24427.5497</v>
      </c>
      <c r="D1039" s="7">
        <v>26350.1302</v>
      </c>
    </row>
    <row r="1040" spans="1:4" s="1" customFormat="1" ht="19.75" customHeight="1" x14ac:dyDescent="0.25">
      <c r="A1040" s="8">
        <f>2014</f>
        <v>2014</v>
      </c>
      <c r="B1040" s="3" t="s">
        <v>102</v>
      </c>
      <c r="C1040" s="4">
        <v>17958.569100000001</v>
      </c>
      <c r="D1040" s="5">
        <v>19606.287</v>
      </c>
    </row>
    <row r="1041" spans="1:4" s="1" customFormat="1" ht="19.75" customHeight="1" x14ac:dyDescent="0.25">
      <c r="A1041" s="8">
        <f>2014</f>
        <v>2014</v>
      </c>
      <c r="B1041" s="3" t="s">
        <v>108</v>
      </c>
      <c r="C1041" s="6">
        <v>9978.4750000000004</v>
      </c>
      <c r="D1041" s="7">
        <v>10895.204400000001</v>
      </c>
    </row>
    <row r="1042" spans="1:4" s="1" customFormat="1" ht="19.75" customHeight="1" x14ac:dyDescent="0.25">
      <c r="A1042" s="8">
        <f>2014</f>
        <v>2014</v>
      </c>
      <c r="B1042" s="3" t="s">
        <v>21</v>
      </c>
      <c r="C1042" s="4">
        <v>26597.5137</v>
      </c>
      <c r="D1042" s="5">
        <v>29576.268</v>
      </c>
    </row>
    <row r="1043" spans="1:4" s="1" customFormat="1" ht="19.75" customHeight="1" x14ac:dyDescent="0.25">
      <c r="A1043" s="8">
        <f>2014</f>
        <v>2014</v>
      </c>
      <c r="B1043" s="3" t="s">
        <v>5</v>
      </c>
      <c r="C1043" s="6">
        <v>15249.2052</v>
      </c>
      <c r="D1043" s="7">
        <v>16620.889200000001</v>
      </c>
    </row>
    <row r="1044" spans="1:4" s="1" customFormat="1" ht="19.75" customHeight="1" x14ac:dyDescent="0.25">
      <c r="A1044" s="8">
        <f>2014</f>
        <v>2014</v>
      </c>
      <c r="B1044" s="3" t="s">
        <v>6</v>
      </c>
      <c r="C1044" s="4">
        <v>22683.733800000002</v>
      </c>
      <c r="D1044" s="5">
        <v>24853.077700000002</v>
      </c>
    </row>
    <row r="1045" spans="1:4" s="1" customFormat="1" ht="19.75" customHeight="1" x14ac:dyDescent="0.25">
      <c r="A1045" s="8">
        <f>2014</f>
        <v>2014</v>
      </c>
      <c r="B1045" s="3" t="s">
        <v>103</v>
      </c>
      <c r="C1045" s="6">
        <v>19017.4794</v>
      </c>
      <c r="D1045" s="7">
        <v>20962.7503</v>
      </c>
    </row>
    <row r="1046" spans="1:4" s="1" customFormat="1" ht="19.75" customHeight="1" x14ac:dyDescent="0.25">
      <c r="A1046" s="8">
        <f>2014</f>
        <v>2014</v>
      </c>
      <c r="B1046" s="3" t="s">
        <v>7</v>
      </c>
      <c r="C1046" s="4">
        <v>7972.7065000000002</v>
      </c>
      <c r="D1046" s="5">
        <v>8399.9873000000007</v>
      </c>
    </row>
    <row r="1047" spans="1:4" s="1" customFormat="1" ht="19.75" customHeight="1" x14ac:dyDescent="0.25">
      <c r="A1047" s="8">
        <f>2014</f>
        <v>2014</v>
      </c>
      <c r="B1047" s="3" t="s">
        <v>8</v>
      </c>
      <c r="C1047" s="6">
        <v>43223.254200000003</v>
      </c>
      <c r="D1047" s="7">
        <v>47799.965499999998</v>
      </c>
    </row>
    <row r="1048" spans="1:4" s="1" customFormat="1" ht="19.75" customHeight="1" x14ac:dyDescent="0.25">
      <c r="A1048" s="8">
        <f>2014</f>
        <v>2014</v>
      </c>
      <c r="B1048" s="3" t="s">
        <v>104</v>
      </c>
      <c r="C1048" s="4">
        <v>18621.260300000002</v>
      </c>
      <c r="D1048" s="5">
        <v>19945.207999999999</v>
      </c>
    </row>
    <row r="1049" spans="1:4" s="1" customFormat="1" ht="19.75" customHeight="1" x14ac:dyDescent="0.25">
      <c r="A1049" s="8">
        <f>2014</f>
        <v>2014</v>
      </c>
      <c r="B1049" s="3" t="s">
        <v>10</v>
      </c>
      <c r="C1049" s="6">
        <v>18229.915099999998</v>
      </c>
      <c r="D1049" s="7">
        <v>19550.422299999998</v>
      </c>
    </row>
    <row r="1050" spans="1:4" s="1" customFormat="1" ht="19.75" customHeight="1" x14ac:dyDescent="0.25">
      <c r="A1050" s="8">
        <f>2014</f>
        <v>2014</v>
      </c>
      <c r="B1050" s="3" t="s">
        <v>11</v>
      </c>
      <c r="C1050" s="4">
        <v>29349.394199999999</v>
      </c>
      <c r="D1050" s="5">
        <v>32170.934600000001</v>
      </c>
    </row>
    <row r="1051" spans="1:4" s="1" customFormat="1" ht="19.75" customHeight="1" x14ac:dyDescent="0.25">
      <c r="A1051" s="8">
        <f>2014</f>
        <v>2014</v>
      </c>
      <c r="B1051" s="3" t="s">
        <v>105</v>
      </c>
      <c r="C1051" s="6">
        <v>10599.290300000001</v>
      </c>
      <c r="D1051" s="7">
        <v>11806.1613</v>
      </c>
    </row>
    <row r="1052" spans="1:4" s="1" customFormat="1" ht="19.75" customHeight="1" x14ac:dyDescent="0.25">
      <c r="A1052" s="8">
        <f>2014</f>
        <v>2014</v>
      </c>
      <c r="B1052" s="3" t="s">
        <v>109</v>
      </c>
      <c r="C1052" s="4">
        <v>10706.5569</v>
      </c>
      <c r="D1052" s="5">
        <v>11416.431200000001</v>
      </c>
    </row>
    <row r="1053" spans="1:4" s="1" customFormat="1" ht="19.75" customHeight="1" x14ac:dyDescent="0.25">
      <c r="A1053" s="8">
        <f>2014</f>
        <v>2014</v>
      </c>
      <c r="B1053" s="3" t="s">
        <v>12</v>
      </c>
      <c r="C1053" s="6">
        <v>30641.1554</v>
      </c>
      <c r="D1053" s="7">
        <v>38046.380100000002</v>
      </c>
    </row>
    <row r="1054" spans="1:4" s="1" customFormat="1" ht="19.75" customHeight="1" x14ac:dyDescent="0.25">
      <c r="A1054" s="8">
        <f>2014</f>
        <v>2014</v>
      </c>
      <c r="B1054" s="3" t="s">
        <v>14</v>
      </c>
      <c r="C1054" s="4">
        <v>2545.9331000000002</v>
      </c>
      <c r="D1054" s="5">
        <v>2825.7881000000002</v>
      </c>
    </row>
    <row r="1055" spans="1:4" s="1" customFormat="1" ht="19.75" customHeight="1" x14ac:dyDescent="0.25">
      <c r="A1055" s="8">
        <f>2014</f>
        <v>2014</v>
      </c>
      <c r="B1055" s="3" t="s">
        <v>15</v>
      </c>
      <c r="C1055" s="6">
        <v>1503.9775</v>
      </c>
      <c r="D1055" s="7">
        <v>1621.3094000000001</v>
      </c>
    </row>
    <row r="1056" spans="1:4" s="1" customFormat="1" ht="19.75" customHeight="1" x14ac:dyDescent="0.25">
      <c r="A1056" s="8">
        <f>2014</f>
        <v>2014</v>
      </c>
      <c r="B1056" s="3" t="s">
        <v>16</v>
      </c>
      <c r="C1056" s="4">
        <v>1128.2592999999999</v>
      </c>
      <c r="D1056" s="5">
        <v>1266.9218000000001</v>
      </c>
    </row>
    <row r="1057" spans="1:4" s="1" customFormat="1" ht="19.75" customHeight="1" x14ac:dyDescent="0.25">
      <c r="A1057" s="8">
        <f>2014</f>
        <v>2014</v>
      </c>
      <c r="B1057" s="3" t="s">
        <v>17</v>
      </c>
      <c r="C1057" s="6">
        <v>1291.9484</v>
      </c>
      <c r="D1057" s="7">
        <v>1365.3764000000001</v>
      </c>
    </row>
    <row r="1058" spans="1:4" s="1" customFormat="1" ht="19.75" customHeight="1" x14ac:dyDescent="0.25">
      <c r="A1058" s="8">
        <f>2014</f>
        <v>2014</v>
      </c>
      <c r="B1058" s="3" t="s">
        <v>18</v>
      </c>
      <c r="C1058" s="4">
        <v>6946.0806000000002</v>
      </c>
      <c r="D1058" s="5">
        <v>7639.9304000000002</v>
      </c>
    </row>
    <row r="1059" spans="1:4" s="1" customFormat="1" ht="19.75" customHeight="1" x14ac:dyDescent="0.25">
      <c r="A1059" s="8">
        <f>2014</f>
        <v>2014</v>
      </c>
      <c r="B1059" s="3" t="s">
        <v>19</v>
      </c>
      <c r="C1059" s="6">
        <v>41135.533600000002</v>
      </c>
      <c r="D1059" s="7">
        <v>49055.1751</v>
      </c>
    </row>
    <row r="1060" spans="1:4" s="1" customFormat="1" ht="19.75" customHeight="1" x14ac:dyDescent="0.25">
      <c r="A1060" s="8">
        <f>2014</f>
        <v>2014</v>
      </c>
      <c r="B1060" s="3" t="s">
        <v>20</v>
      </c>
      <c r="C1060" s="4">
        <v>44178.152800000003</v>
      </c>
      <c r="D1060" s="5">
        <v>54606.024899999997</v>
      </c>
    </row>
    <row r="1061" spans="1:4" s="1" customFormat="1" ht="19.75" customHeight="1" x14ac:dyDescent="0.25">
      <c r="A1061" s="8">
        <f>2014</f>
        <v>2014</v>
      </c>
      <c r="B1061" s="3" t="s">
        <v>23</v>
      </c>
      <c r="C1061" s="6">
        <v>8253.5344000000005</v>
      </c>
      <c r="D1061" s="7">
        <v>10144.063399999999</v>
      </c>
    </row>
    <row r="1062" spans="1:4" s="1" customFormat="1" ht="19.75" customHeight="1" x14ac:dyDescent="0.25">
      <c r="A1062" s="8">
        <f>2014</f>
        <v>2014</v>
      </c>
      <c r="B1062" s="3" t="s">
        <v>120</v>
      </c>
      <c r="C1062" s="4">
        <v>5205.2186000000002</v>
      </c>
      <c r="D1062" s="5">
        <v>6072.3398999999999</v>
      </c>
    </row>
    <row r="1063" spans="1:4" s="1" customFormat="1" ht="19.75" customHeight="1" x14ac:dyDescent="0.25">
      <c r="A1063" s="8">
        <f>2014</f>
        <v>2014</v>
      </c>
      <c r="B1063" s="3" t="s">
        <v>24</v>
      </c>
      <c r="C1063" s="6">
        <v>6767.0019000000002</v>
      </c>
      <c r="D1063" s="7">
        <v>7157.2658000000001</v>
      </c>
    </row>
    <row r="1064" spans="1:4" s="1" customFormat="1" ht="19.75" customHeight="1" x14ac:dyDescent="0.25">
      <c r="A1064" s="8">
        <f>2014</f>
        <v>2014</v>
      </c>
      <c r="B1064" s="3" t="s">
        <v>25</v>
      </c>
      <c r="C1064" s="4">
        <v>4188.8281999999999</v>
      </c>
      <c r="D1064" s="5">
        <v>4694.4098999999997</v>
      </c>
    </row>
    <row r="1065" spans="1:4" s="1" customFormat="1" ht="19.75" customHeight="1" x14ac:dyDescent="0.25">
      <c r="A1065" s="8">
        <f>2014</f>
        <v>2014</v>
      </c>
      <c r="B1065" s="3" t="s">
        <v>26</v>
      </c>
      <c r="C1065" s="6">
        <v>5115.9633999999996</v>
      </c>
      <c r="D1065" s="7">
        <v>5680.4134999999997</v>
      </c>
    </row>
    <row r="1066" spans="1:4" s="1" customFormat="1" ht="19.75" customHeight="1" x14ac:dyDescent="0.25">
      <c r="A1066" s="8">
        <f>2014</f>
        <v>2014</v>
      </c>
      <c r="B1066" s="3" t="s">
        <v>27</v>
      </c>
      <c r="C1066" s="4">
        <v>8767.1154000000006</v>
      </c>
      <c r="D1066" s="5">
        <v>10166.825999999999</v>
      </c>
    </row>
    <row r="1067" spans="1:4" s="1" customFormat="1" ht="19.75" customHeight="1" x14ac:dyDescent="0.25">
      <c r="A1067" s="8">
        <f>2014</f>
        <v>2014</v>
      </c>
      <c r="B1067" s="3" t="s">
        <v>106</v>
      </c>
      <c r="C1067" s="6">
        <v>1983.95</v>
      </c>
      <c r="D1067" s="7">
        <v>2187.5423000000001</v>
      </c>
    </row>
    <row r="1068" spans="1:4" s="1" customFormat="1" ht="19.75" customHeight="1" x14ac:dyDescent="0.25">
      <c r="A1068" s="8">
        <f>2014</f>
        <v>2014</v>
      </c>
      <c r="B1068" s="3" t="s">
        <v>28</v>
      </c>
      <c r="C1068" s="4">
        <v>432.5831</v>
      </c>
      <c r="D1068" s="5">
        <v>458.52839999999998</v>
      </c>
    </row>
    <row r="1069" spans="1:4" s="1" customFormat="1" ht="19.75" customHeight="1" x14ac:dyDescent="0.25">
      <c r="A1069" s="8">
        <f>2014</f>
        <v>2014</v>
      </c>
      <c r="B1069" s="3" t="s">
        <v>29</v>
      </c>
      <c r="C1069" s="6">
        <v>1351.6152999999999</v>
      </c>
      <c r="D1069" s="7">
        <v>1612.5868</v>
      </c>
    </row>
    <row r="1070" spans="1:4" s="1" customFormat="1" ht="19.75" customHeight="1" x14ac:dyDescent="0.25">
      <c r="A1070" s="8">
        <f>2014</f>
        <v>2014</v>
      </c>
      <c r="B1070" s="3" t="s">
        <v>30</v>
      </c>
      <c r="C1070" s="4">
        <v>5015.0631000000003</v>
      </c>
      <c r="D1070" s="5">
        <v>5383.5271000000002</v>
      </c>
    </row>
    <row r="1071" spans="1:4" s="1" customFormat="1" ht="19.75" customHeight="1" x14ac:dyDescent="0.25">
      <c r="A1071" s="8">
        <f>2014</f>
        <v>2014</v>
      </c>
      <c r="B1071" s="3" t="s">
        <v>31</v>
      </c>
      <c r="C1071" s="6">
        <v>2702.6550999999999</v>
      </c>
      <c r="D1071" s="7">
        <v>2922.7892000000002</v>
      </c>
    </row>
    <row r="1072" spans="1:4" s="1" customFormat="1" ht="19.75" customHeight="1" x14ac:dyDescent="0.25">
      <c r="A1072" s="8">
        <f>2014</f>
        <v>2014</v>
      </c>
      <c r="B1072" s="3" t="s">
        <v>32</v>
      </c>
      <c r="C1072" s="4">
        <v>9981.3521000000001</v>
      </c>
      <c r="D1072" s="5">
        <v>11702.9295</v>
      </c>
    </row>
    <row r="1073" spans="1:4" s="1" customFormat="1" ht="19.75" customHeight="1" x14ac:dyDescent="0.25">
      <c r="A1073" s="8">
        <f>2014</f>
        <v>2014</v>
      </c>
      <c r="B1073" s="3" t="s">
        <v>92</v>
      </c>
      <c r="C1073" s="6">
        <v>7.9598000000000004</v>
      </c>
      <c r="D1073" s="7">
        <v>30.257100000000001</v>
      </c>
    </row>
    <row r="1074" spans="1:4" s="1" customFormat="1" ht="19.75" customHeight="1" x14ac:dyDescent="0.25">
      <c r="A1074" s="8">
        <f>2014</f>
        <v>2014</v>
      </c>
      <c r="B1074" s="3" t="s">
        <v>97</v>
      </c>
      <c r="C1074" s="4">
        <v>149.58670000000001</v>
      </c>
      <c r="D1074" s="5">
        <v>161.39179999999999</v>
      </c>
    </row>
    <row r="1075" spans="1:4" s="1" customFormat="1" ht="19.75" customHeight="1" x14ac:dyDescent="0.25">
      <c r="A1075" s="8">
        <f>2014</f>
        <v>2014</v>
      </c>
      <c r="B1075" s="3" t="s">
        <v>34</v>
      </c>
      <c r="C1075" s="6">
        <v>105.42270000000001</v>
      </c>
      <c r="D1075" s="7">
        <v>759.10820000000001</v>
      </c>
    </row>
    <row r="1076" spans="1:4" s="1" customFormat="1" ht="30.4" customHeight="1" x14ac:dyDescent="0.25">
      <c r="A1076" s="8">
        <f>2014</f>
        <v>2014</v>
      </c>
      <c r="B1076" s="3" t="s">
        <v>35</v>
      </c>
      <c r="C1076" s="4">
        <v>307.06459999999998</v>
      </c>
      <c r="D1076" s="5">
        <v>350.86399999999998</v>
      </c>
    </row>
    <row r="1077" spans="1:4" s="1" customFormat="1" ht="19.75" customHeight="1" x14ac:dyDescent="0.25">
      <c r="A1077" s="8">
        <f>2014</f>
        <v>2014</v>
      </c>
      <c r="B1077" s="3" t="s">
        <v>36</v>
      </c>
      <c r="C1077" s="6">
        <v>1476.5802000000001</v>
      </c>
      <c r="D1077" s="7">
        <v>2367.4137000000001</v>
      </c>
    </row>
    <row r="1078" spans="1:4" s="1" customFormat="1" ht="19.75" customHeight="1" x14ac:dyDescent="0.25">
      <c r="A1078" s="8">
        <f>2014</f>
        <v>2014</v>
      </c>
      <c r="B1078" s="3" t="s">
        <v>37</v>
      </c>
      <c r="C1078" s="4">
        <v>88.2774</v>
      </c>
      <c r="D1078" s="5">
        <v>102.0206</v>
      </c>
    </row>
    <row r="1079" spans="1:4" s="1" customFormat="1" ht="19.75" customHeight="1" x14ac:dyDescent="0.25">
      <c r="A1079" s="8">
        <f>2014</f>
        <v>2014</v>
      </c>
      <c r="B1079" s="3" t="s">
        <v>38</v>
      </c>
      <c r="C1079" s="6">
        <v>26.6343</v>
      </c>
      <c r="D1079" s="7">
        <v>32.311</v>
      </c>
    </row>
    <row r="1080" spans="1:4" s="1" customFormat="1" ht="19.75" customHeight="1" x14ac:dyDescent="0.25">
      <c r="A1080" s="8">
        <f>2014</f>
        <v>2014</v>
      </c>
      <c r="B1080" s="3" t="s">
        <v>40</v>
      </c>
      <c r="C1080" s="4">
        <v>755.57929999999999</v>
      </c>
      <c r="D1080" s="5">
        <v>1132.2274</v>
      </c>
    </row>
    <row r="1081" spans="1:4" s="1" customFormat="1" ht="19.75" customHeight="1" x14ac:dyDescent="0.25">
      <c r="A1081" s="8">
        <f>2014</f>
        <v>2014</v>
      </c>
      <c r="B1081" s="3" t="s">
        <v>41</v>
      </c>
      <c r="C1081" s="6">
        <v>1533.4748</v>
      </c>
      <c r="D1081" s="7">
        <v>2163.1664999999998</v>
      </c>
    </row>
    <row r="1082" spans="1:4" s="1" customFormat="1" ht="19.75" customHeight="1" x14ac:dyDescent="0.25">
      <c r="A1082" s="8">
        <f>2014</f>
        <v>2014</v>
      </c>
      <c r="B1082" s="3" t="s">
        <v>42</v>
      </c>
      <c r="C1082" s="4">
        <v>1221.1746000000001</v>
      </c>
      <c r="D1082" s="5">
        <v>1481.5011999999999</v>
      </c>
    </row>
    <row r="1083" spans="1:4" s="1" customFormat="1" ht="19.75" customHeight="1" x14ac:dyDescent="0.25">
      <c r="A1083" s="8">
        <f>2014</f>
        <v>2014</v>
      </c>
      <c r="B1083" s="3" t="s">
        <v>43</v>
      </c>
      <c r="C1083" s="6">
        <v>9195.2099999999991</v>
      </c>
      <c r="D1083" s="7">
        <v>12199.34</v>
      </c>
    </row>
    <row r="1084" spans="1:4" s="1" customFormat="1" ht="19.75" customHeight="1" x14ac:dyDescent="0.25">
      <c r="A1084" s="8">
        <f>2014</f>
        <v>2014</v>
      </c>
      <c r="B1084" s="3" t="s">
        <v>118</v>
      </c>
      <c r="C1084" s="4">
        <v>26.607500000000002</v>
      </c>
      <c r="D1084" s="5">
        <v>30.205100000000002</v>
      </c>
    </row>
    <row r="1085" spans="1:4" s="1" customFormat="1" ht="19.75" customHeight="1" x14ac:dyDescent="0.25">
      <c r="A1085" s="8">
        <f>2014</f>
        <v>2014</v>
      </c>
      <c r="B1085" s="3" t="s">
        <v>44</v>
      </c>
      <c r="C1085" s="6">
        <v>86.828299999999999</v>
      </c>
      <c r="D1085" s="7">
        <v>142.49250000000001</v>
      </c>
    </row>
    <row r="1086" spans="1:4" s="1" customFormat="1" ht="19.75" customHeight="1" x14ac:dyDescent="0.25">
      <c r="A1086" s="8">
        <f>2014</f>
        <v>2014</v>
      </c>
      <c r="B1086" s="3" t="s">
        <v>45</v>
      </c>
      <c r="C1086" s="4">
        <v>376.41989999999998</v>
      </c>
      <c r="D1086" s="5">
        <v>452.79880000000003</v>
      </c>
    </row>
    <row r="1087" spans="1:4" s="1" customFormat="1" ht="19.75" customHeight="1" x14ac:dyDescent="0.25">
      <c r="A1087" s="8">
        <f>2014</f>
        <v>2014</v>
      </c>
      <c r="B1087" s="3" t="s">
        <v>93</v>
      </c>
      <c r="C1087" s="6">
        <v>350.19510000000002</v>
      </c>
      <c r="D1087" s="7">
        <v>397.77390000000003</v>
      </c>
    </row>
    <row r="1088" spans="1:4" s="1" customFormat="1" ht="19.75" customHeight="1" x14ac:dyDescent="0.25">
      <c r="A1088" s="8">
        <f>2014</f>
        <v>2014</v>
      </c>
      <c r="B1088" s="3" t="s">
        <v>46</v>
      </c>
      <c r="C1088" s="4">
        <v>30.962800000000001</v>
      </c>
      <c r="D1088" s="5">
        <v>41.314799999999998</v>
      </c>
    </row>
    <row r="1089" spans="1:4" s="1" customFormat="1" ht="19.75" customHeight="1" x14ac:dyDescent="0.25">
      <c r="A1089" s="8">
        <f>2014</f>
        <v>2014</v>
      </c>
      <c r="B1089" s="3" t="s">
        <v>47</v>
      </c>
      <c r="C1089" s="6">
        <v>2560.5364</v>
      </c>
      <c r="D1089" s="7">
        <v>2815.8497000000002</v>
      </c>
    </row>
    <row r="1090" spans="1:4" s="1" customFormat="1" ht="19.75" customHeight="1" x14ac:dyDescent="0.25">
      <c r="A1090" s="8">
        <f>2014</f>
        <v>2014</v>
      </c>
      <c r="B1090" s="3" t="s">
        <v>48</v>
      </c>
      <c r="C1090" s="4">
        <v>3546.8107</v>
      </c>
      <c r="D1090" s="5">
        <v>4034.6388999999999</v>
      </c>
    </row>
    <row r="1091" spans="1:4" s="1" customFormat="1" ht="19.75" customHeight="1" x14ac:dyDescent="0.25">
      <c r="A1091" s="8">
        <f>2014</f>
        <v>2014</v>
      </c>
      <c r="B1091" s="3" t="s">
        <v>52</v>
      </c>
      <c r="C1091" s="6">
        <v>85.935599999999994</v>
      </c>
      <c r="D1091" s="7">
        <v>116.4021</v>
      </c>
    </row>
    <row r="1092" spans="1:4" s="1" customFormat="1" ht="19.75" customHeight="1" x14ac:dyDescent="0.25">
      <c r="A1092" s="8">
        <f>2014</f>
        <v>2014</v>
      </c>
      <c r="B1092" s="3" t="s">
        <v>98</v>
      </c>
      <c r="C1092" s="4">
        <v>7465.9638999999997</v>
      </c>
      <c r="D1092" s="5">
        <v>8986.8498</v>
      </c>
    </row>
    <row r="1093" spans="1:4" s="1" customFormat="1" ht="19.75" customHeight="1" x14ac:dyDescent="0.25">
      <c r="A1093" s="8">
        <f>2014</f>
        <v>2014</v>
      </c>
      <c r="B1093" s="3" t="s">
        <v>121</v>
      </c>
      <c r="C1093" s="6">
        <v>15.5634</v>
      </c>
      <c r="D1093" s="7">
        <v>15.8269</v>
      </c>
    </row>
    <row r="1094" spans="1:4" s="1" customFormat="1" ht="19.75" customHeight="1" x14ac:dyDescent="0.25">
      <c r="A1094" s="8">
        <f>2014</f>
        <v>2014</v>
      </c>
      <c r="B1094" s="3" t="s">
        <v>53</v>
      </c>
      <c r="C1094" s="4">
        <v>86.125</v>
      </c>
      <c r="D1094" s="5">
        <v>96.484200000000001</v>
      </c>
    </row>
    <row r="1095" spans="1:4" s="1" customFormat="1" ht="19.75" customHeight="1" x14ac:dyDescent="0.25">
      <c r="A1095" s="8">
        <f>2014</f>
        <v>2014</v>
      </c>
      <c r="B1095" s="3" t="s">
        <v>55</v>
      </c>
      <c r="C1095" s="6">
        <v>1537.3783000000001</v>
      </c>
      <c r="D1095" s="7">
        <v>2452.8220999999999</v>
      </c>
    </row>
    <row r="1096" spans="1:4" s="1" customFormat="1" ht="19.75" customHeight="1" x14ac:dyDescent="0.25">
      <c r="A1096" s="8">
        <f>2014</f>
        <v>2014</v>
      </c>
      <c r="B1096" s="3" t="s">
        <v>56</v>
      </c>
      <c r="C1096" s="4">
        <v>15.3751</v>
      </c>
      <c r="D1096" s="5">
        <v>19.994199999999999</v>
      </c>
    </row>
    <row r="1097" spans="1:4" s="1" customFormat="1" ht="19.75" customHeight="1" x14ac:dyDescent="0.25">
      <c r="A1097" s="8">
        <f>2014</f>
        <v>2014</v>
      </c>
      <c r="B1097" s="3" t="s">
        <v>119</v>
      </c>
      <c r="C1097" s="6">
        <v>63.559199999999997</v>
      </c>
      <c r="D1097" s="7">
        <v>82.975999999999999</v>
      </c>
    </row>
    <row r="1098" spans="1:4" s="1" customFormat="1" ht="19.75" customHeight="1" x14ac:dyDescent="0.25">
      <c r="A1098" s="8">
        <f>2014</f>
        <v>2014</v>
      </c>
      <c r="B1098" s="3" t="s">
        <v>94</v>
      </c>
      <c r="C1098" s="4">
        <v>19.5764</v>
      </c>
      <c r="D1098" s="5">
        <v>21.029499999999999</v>
      </c>
    </row>
    <row r="1099" spans="1:4" s="1" customFormat="1" ht="19.75" customHeight="1" x14ac:dyDescent="0.25">
      <c r="A1099" s="8">
        <f>2014</f>
        <v>2014</v>
      </c>
      <c r="B1099" s="3" t="s">
        <v>59</v>
      </c>
      <c r="C1099" s="6">
        <v>12.633599999999999</v>
      </c>
      <c r="D1099" s="7">
        <v>41.930999999999997</v>
      </c>
    </row>
    <row r="1100" spans="1:4" s="1" customFormat="1" ht="19.75" customHeight="1" x14ac:dyDescent="0.25">
      <c r="A1100" s="8">
        <f>2014</f>
        <v>2014</v>
      </c>
      <c r="B1100" s="3" t="s">
        <v>60</v>
      </c>
      <c r="C1100" s="4">
        <v>586.70510000000002</v>
      </c>
      <c r="D1100" s="5">
        <v>620.17700000000002</v>
      </c>
    </row>
    <row r="1101" spans="1:4" s="1" customFormat="1" ht="19.75" customHeight="1" x14ac:dyDescent="0.25">
      <c r="A1101" s="8">
        <f>2014</f>
        <v>2014</v>
      </c>
      <c r="B1101" s="3" t="s">
        <v>61</v>
      </c>
      <c r="C1101" s="6">
        <v>949.59479999999996</v>
      </c>
      <c r="D1101" s="7">
        <v>1178.2925</v>
      </c>
    </row>
    <row r="1102" spans="1:4" s="1" customFormat="1" ht="19.75" customHeight="1" x14ac:dyDescent="0.25">
      <c r="A1102" s="8">
        <f>2014</f>
        <v>2014</v>
      </c>
      <c r="B1102" s="3" t="s">
        <v>110</v>
      </c>
      <c r="C1102" s="4">
        <v>58.234099999999998</v>
      </c>
      <c r="D1102" s="5">
        <v>63.428400000000003</v>
      </c>
    </row>
    <row r="1103" spans="1:4" s="1" customFormat="1" ht="19.75" customHeight="1" x14ac:dyDescent="0.25">
      <c r="A1103" s="8">
        <f>2014</f>
        <v>2014</v>
      </c>
      <c r="B1103" s="3" t="s">
        <v>64</v>
      </c>
      <c r="C1103" s="6">
        <v>17.906400000000001</v>
      </c>
      <c r="D1103" s="7">
        <v>18.133800000000001</v>
      </c>
    </row>
    <row r="1104" spans="1:4" s="1" customFormat="1" ht="19.75" customHeight="1" x14ac:dyDescent="0.25">
      <c r="A1104" s="8">
        <f>2014</f>
        <v>2014</v>
      </c>
      <c r="B1104" s="3" t="s">
        <v>66</v>
      </c>
      <c r="C1104" s="4">
        <v>22.007899999999999</v>
      </c>
      <c r="D1104" s="5">
        <v>25.7118</v>
      </c>
    </row>
    <row r="1105" spans="1:4" s="1" customFormat="1" ht="19.75" customHeight="1" x14ac:dyDescent="0.25">
      <c r="A1105" s="8">
        <f>2014</f>
        <v>2014</v>
      </c>
      <c r="B1105" s="3" t="s">
        <v>67</v>
      </c>
      <c r="C1105" s="6">
        <v>147.65719999999999</v>
      </c>
      <c r="D1105" s="7">
        <v>159.93559999999999</v>
      </c>
    </row>
    <row r="1106" spans="1:4" s="1" customFormat="1" ht="19.75" customHeight="1" x14ac:dyDescent="0.25">
      <c r="A1106" s="8">
        <f>2014</f>
        <v>2014</v>
      </c>
      <c r="B1106" s="3" t="s">
        <v>68</v>
      </c>
      <c r="C1106" s="4">
        <v>274.48129999999998</v>
      </c>
      <c r="D1106" s="5">
        <v>302.73099999999999</v>
      </c>
    </row>
    <row r="1107" spans="1:4" s="1" customFormat="1" ht="19.75" customHeight="1" x14ac:dyDescent="0.25">
      <c r="A1107" s="8">
        <f>2014</f>
        <v>2014</v>
      </c>
      <c r="B1107" s="3" t="s">
        <v>69</v>
      </c>
      <c r="C1107" s="6">
        <v>259.92180000000002</v>
      </c>
      <c r="D1107" s="7">
        <v>311.76220000000001</v>
      </c>
    </row>
    <row r="1108" spans="1:4" s="1" customFormat="1" ht="19.75" customHeight="1" x14ac:dyDescent="0.25">
      <c r="A1108" s="8">
        <f>2014</f>
        <v>2014</v>
      </c>
      <c r="B1108" s="3" t="s">
        <v>95</v>
      </c>
      <c r="C1108" s="4">
        <v>3.3073000000000001</v>
      </c>
      <c r="D1108" s="5">
        <v>9.9829000000000008</v>
      </c>
    </row>
    <row r="1109" spans="1:4" s="1" customFormat="1" ht="19.75" customHeight="1" x14ac:dyDescent="0.25">
      <c r="A1109" s="8">
        <f>2014</f>
        <v>2014</v>
      </c>
      <c r="B1109" s="3" t="s">
        <v>71</v>
      </c>
      <c r="C1109" s="6">
        <v>9979.0881000000008</v>
      </c>
      <c r="D1109" s="7">
        <v>13124.4884</v>
      </c>
    </row>
    <row r="1110" spans="1:4" s="1" customFormat="1" ht="19.75" customHeight="1" x14ac:dyDescent="0.25">
      <c r="A1110" s="8">
        <f>2014</f>
        <v>2014</v>
      </c>
      <c r="B1110" s="3" t="s">
        <v>72</v>
      </c>
      <c r="C1110" s="4">
        <v>107.7953</v>
      </c>
      <c r="D1110" s="5">
        <v>117.795</v>
      </c>
    </row>
    <row r="1111" spans="1:4" s="1" customFormat="1" ht="19.75" customHeight="1" x14ac:dyDescent="0.25">
      <c r="A1111" s="8">
        <f>2014</f>
        <v>2014</v>
      </c>
      <c r="B1111" s="3" t="s">
        <v>99</v>
      </c>
      <c r="C1111" s="6">
        <v>1743.7905000000001</v>
      </c>
      <c r="D1111" s="7">
        <v>2398.7446</v>
      </c>
    </row>
    <row r="1112" spans="1:4" s="1" customFormat="1" ht="19.75" customHeight="1" x14ac:dyDescent="0.25">
      <c r="A1112" s="8">
        <f>2014</f>
        <v>2014</v>
      </c>
      <c r="B1112" s="3" t="s">
        <v>74</v>
      </c>
      <c r="C1112" s="4">
        <v>302.11099999999999</v>
      </c>
      <c r="D1112" s="5">
        <v>209.7295</v>
      </c>
    </row>
    <row r="1113" spans="1:4" s="1" customFormat="1" ht="19.75" customHeight="1" x14ac:dyDescent="0.25">
      <c r="A1113" s="8">
        <f>2014</f>
        <v>2014</v>
      </c>
      <c r="B1113" s="3" t="s">
        <v>75</v>
      </c>
      <c r="C1113" s="6">
        <v>20.857399999999998</v>
      </c>
      <c r="D1113" s="7">
        <v>25.085799999999999</v>
      </c>
    </row>
    <row r="1114" spans="1:4" s="1" customFormat="1" ht="19.75" customHeight="1" x14ac:dyDescent="0.25">
      <c r="A1114" s="8">
        <f>2014</f>
        <v>2014</v>
      </c>
      <c r="B1114" s="3" t="s">
        <v>107</v>
      </c>
      <c r="C1114" s="4">
        <v>95.051100000000005</v>
      </c>
      <c r="D1114" s="5">
        <v>108.5992</v>
      </c>
    </row>
    <row r="1115" spans="1:4" s="1" customFormat="1" ht="19.75" customHeight="1" x14ac:dyDescent="0.25">
      <c r="A1115" s="8">
        <f>2014</f>
        <v>2014</v>
      </c>
      <c r="B1115" s="3" t="s">
        <v>76</v>
      </c>
      <c r="C1115" s="6">
        <v>52.938600000000001</v>
      </c>
      <c r="D1115" s="7">
        <v>54.589100000000002</v>
      </c>
    </row>
    <row r="1116" spans="1:4" s="1" customFormat="1" ht="19.75" customHeight="1" x14ac:dyDescent="0.25">
      <c r="A1116" s="8">
        <f>2013</f>
        <v>2013</v>
      </c>
      <c r="B1116" s="3" t="s">
        <v>112</v>
      </c>
      <c r="C1116" s="4">
        <v>7498.1855999999998</v>
      </c>
      <c r="D1116" s="5">
        <v>8224.4747000000007</v>
      </c>
    </row>
    <row r="1117" spans="1:4" s="1" customFormat="1" ht="19.75" customHeight="1" x14ac:dyDescent="0.25">
      <c r="A1117" s="8">
        <f>2013</f>
        <v>2013</v>
      </c>
      <c r="B1117" s="3" t="s">
        <v>113</v>
      </c>
      <c r="C1117" s="6">
        <v>12447.7983</v>
      </c>
      <c r="D1117" s="7">
        <v>13423.4048</v>
      </c>
    </row>
    <row r="1118" spans="1:4" s="1" customFormat="1" ht="19.75" customHeight="1" x14ac:dyDescent="0.25">
      <c r="A1118" s="8">
        <f>2013</f>
        <v>2013</v>
      </c>
      <c r="B1118" s="3" t="s">
        <v>9</v>
      </c>
      <c r="C1118" s="4">
        <v>119655.1</v>
      </c>
      <c r="D1118" s="5">
        <v>135691.9423</v>
      </c>
    </row>
    <row r="1119" spans="1:4" s="1" customFormat="1" ht="19.75" customHeight="1" x14ac:dyDescent="0.25">
      <c r="A1119" s="8">
        <f>2013</f>
        <v>2013</v>
      </c>
      <c r="B1119" s="3" t="s">
        <v>114</v>
      </c>
      <c r="C1119" s="6">
        <v>5965.4841999999999</v>
      </c>
      <c r="D1119" s="7">
        <v>6561.0751</v>
      </c>
    </row>
    <row r="1120" spans="1:4" s="1" customFormat="1" ht="19.75" customHeight="1" x14ac:dyDescent="0.25">
      <c r="A1120" s="8">
        <f>2013</f>
        <v>2013</v>
      </c>
      <c r="B1120" s="3" t="s">
        <v>115</v>
      </c>
      <c r="C1120" s="4">
        <v>9564.2626</v>
      </c>
      <c r="D1120" s="5">
        <v>10323.087299999999</v>
      </c>
    </row>
    <row r="1121" spans="1:4" s="1" customFormat="1" ht="19.75" customHeight="1" x14ac:dyDescent="0.25">
      <c r="A1121" s="8">
        <f>2013</f>
        <v>2013</v>
      </c>
      <c r="B1121" s="3" t="s">
        <v>116</v>
      </c>
      <c r="C1121" s="6">
        <v>8634.84</v>
      </c>
      <c r="D1121" s="7">
        <v>9287.8621000000003</v>
      </c>
    </row>
    <row r="1122" spans="1:4" s="1" customFormat="1" ht="19.75" customHeight="1" x14ac:dyDescent="0.25">
      <c r="A1122" s="8">
        <f>2013</f>
        <v>2013</v>
      </c>
      <c r="B1122" s="3" t="s">
        <v>100</v>
      </c>
      <c r="C1122" s="4">
        <v>17435.691800000001</v>
      </c>
      <c r="D1122" s="5">
        <v>18912.601500000001</v>
      </c>
    </row>
    <row r="1123" spans="1:4" s="1" customFormat="1" ht="19.75" customHeight="1" x14ac:dyDescent="0.25">
      <c r="A1123" s="8">
        <f>2013</f>
        <v>2013</v>
      </c>
      <c r="B1123" s="3" t="s">
        <v>101</v>
      </c>
      <c r="C1123" s="6">
        <v>12909.6921</v>
      </c>
      <c r="D1123" s="7">
        <v>13957.1158</v>
      </c>
    </row>
    <row r="1124" spans="1:4" s="1" customFormat="1" ht="19.75" customHeight="1" x14ac:dyDescent="0.25">
      <c r="A1124" s="8">
        <f>2013</f>
        <v>2013</v>
      </c>
      <c r="B1124" s="3" t="s">
        <v>0</v>
      </c>
      <c r="C1124" s="4">
        <v>35196.654399999999</v>
      </c>
      <c r="D1124" s="5">
        <v>38827.279300000002</v>
      </c>
    </row>
    <row r="1125" spans="1:4" s="1" customFormat="1" ht="19.75" customHeight="1" x14ac:dyDescent="0.25">
      <c r="A1125" s="8">
        <f>2013</f>
        <v>2013</v>
      </c>
      <c r="B1125" s="3" t="s">
        <v>1</v>
      </c>
      <c r="C1125" s="6">
        <v>31908.929</v>
      </c>
      <c r="D1125" s="7">
        <v>35674.972099999999</v>
      </c>
    </row>
    <row r="1126" spans="1:4" s="1" customFormat="1" ht="19.75" customHeight="1" x14ac:dyDescent="0.25">
      <c r="A1126" s="8">
        <f>2013</f>
        <v>2013</v>
      </c>
      <c r="B1126" s="3" t="s">
        <v>2</v>
      </c>
      <c r="C1126" s="4">
        <v>9613.4321</v>
      </c>
      <c r="D1126" s="5">
        <v>10525.4328</v>
      </c>
    </row>
    <row r="1127" spans="1:4" s="1" customFormat="1" ht="19.75" customHeight="1" x14ac:dyDescent="0.25">
      <c r="A1127" s="8">
        <f>2013</f>
        <v>2013</v>
      </c>
      <c r="B1127" s="3" t="s">
        <v>3</v>
      </c>
      <c r="C1127" s="6">
        <v>34077.934999999998</v>
      </c>
      <c r="D1127" s="7">
        <v>37230.942799999997</v>
      </c>
    </row>
    <row r="1128" spans="1:4" s="1" customFormat="1" ht="19.75" customHeight="1" x14ac:dyDescent="0.25">
      <c r="A1128" s="8">
        <f>2013</f>
        <v>2013</v>
      </c>
      <c r="B1128" s="3" t="s">
        <v>4</v>
      </c>
      <c r="C1128" s="4">
        <v>21860.6505</v>
      </c>
      <c r="D1128" s="5">
        <v>23527.980100000001</v>
      </c>
    </row>
    <row r="1129" spans="1:4" s="1" customFormat="1" ht="19.75" customHeight="1" x14ac:dyDescent="0.25">
      <c r="A1129" s="8">
        <f>2013</f>
        <v>2013</v>
      </c>
      <c r="B1129" s="3" t="s">
        <v>102</v>
      </c>
      <c r="C1129" s="6">
        <v>15334.082700000001</v>
      </c>
      <c r="D1129" s="7">
        <v>16942.021000000001</v>
      </c>
    </row>
    <row r="1130" spans="1:4" s="1" customFormat="1" ht="19.75" customHeight="1" x14ac:dyDescent="0.25">
      <c r="A1130" s="8">
        <f>2013</f>
        <v>2013</v>
      </c>
      <c r="B1130" s="3" t="s">
        <v>108</v>
      </c>
      <c r="C1130" s="4">
        <v>8899.3894</v>
      </c>
      <c r="D1130" s="5">
        <v>9554.8526000000002</v>
      </c>
    </row>
    <row r="1131" spans="1:4" s="1" customFormat="1" ht="19.75" customHeight="1" x14ac:dyDescent="0.25">
      <c r="A1131" s="8">
        <f>2013</f>
        <v>2013</v>
      </c>
      <c r="B1131" s="3" t="s">
        <v>21</v>
      </c>
      <c r="C1131" s="6">
        <v>25064.3004</v>
      </c>
      <c r="D1131" s="7">
        <v>28283.806199999999</v>
      </c>
    </row>
    <row r="1132" spans="1:4" s="1" customFormat="1" ht="19.75" customHeight="1" x14ac:dyDescent="0.25">
      <c r="A1132" s="8">
        <f>2013</f>
        <v>2013</v>
      </c>
      <c r="B1132" s="3" t="s">
        <v>5</v>
      </c>
      <c r="C1132" s="4">
        <v>13897.4285</v>
      </c>
      <c r="D1132" s="5">
        <v>15180.580599999999</v>
      </c>
    </row>
    <row r="1133" spans="1:4" s="1" customFormat="1" ht="19.75" customHeight="1" x14ac:dyDescent="0.25">
      <c r="A1133" s="8">
        <f>2013</f>
        <v>2013</v>
      </c>
      <c r="B1133" s="3" t="s">
        <v>6</v>
      </c>
      <c r="C1133" s="6">
        <v>20676.7255</v>
      </c>
      <c r="D1133" s="7">
        <v>22649.6299</v>
      </c>
    </row>
    <row r="1134" spans="1:4" s="1" customFormat="1" ht="19.75" customHeight="1" x14ac:dyDescent="0.25">
      <c r="A1134" s="8">
        <f>2013</f>
        <v>2013</v>
      </c>
      <c r="B1134" s="3" t="s">
        <v>103</v>
      </c>
      <c r="C1134" s="4">
        <v>17704.775600000001</v>
      </c>
      <c r="D1134" s="5">
        <v>19359.489300000001</v>
      </c>
    </row>
    <row r="1135" spans="1:4" s="1" customFormat="1" ht="19.75" customHeight="1" x14ac:dyDescent="0.25">
      <c r="A1135" s="8">
        <f>2013</f>
        <v>2013</v>
      </c>
      <c r="B1135" s="3" t="s">
        <v>7</v>
      </c>
      <c r="C1135" s="6">
        <v>7340.1243000000004</v>
      </c>
      <c r="D1135" s="7">
        <v>7734.3411999999998</v>
      </c>
    </row>
    <row r="1136" spans="1:4" s="1" customFormat="1" ht="19.75" customHeight="1" x14ac:dyDescent="0.25">
      <c r="A1136" s="8">
        <f>2013</f>
        <v>2013</v>
      </c>
      <c r="B1136" s="3" t="s">
        <v>8</v>
      </c>
      <c r="C1136" s="4">
        <v>41885.823199999999</v>
      </c>
      <c r="D1136" s="5">
        <v>46109.251900000003</v>
      </c>
    </row>
    <row r="1137" spans="1:4" s="1" customFormat="1" ht="19.75" customHeight="1" x14ac:dyDescent="0.25">
      <c r="A1137" s="8">
        <f>2013</f>
        <v>2013</v>
      </c>
      <c r="B1137" s="3" t="s">
        <v>104</v>
      </c>
      <c r="C1137" s="6">
        <v>17120.687999999998</v>
      </c>
      <c r="D1137" s="7">
        <v>18295.045099999999</v>
      </c>
    </row>
    <row r="1138" spans="1:4" s="1" customFormat="1" ht="19.75" customHeight="1" x14ac:dyDescent="0.25">
      <c r="A1138" s="8">
        <f>2013</f>
        <v>2013</v>
      </c>
      <c r="B1138" s="3" t="s">
        <v>10</v>
      </c>
      <c r="C1138" s="4">
        <v>16751.7117</v>
      </c>
      <c r="D1138" s="5">
        <v>17703.8832</v>
      </c>
    </row>
    <row r="1139" spans="1:4" s="1" customFormat="1" ht="19.75" customHeight="1" x14ac:dyDescent="0.25">
      <c r="A1139" s="8">
        <f>2013</f>
        <v>2013</v>
      </c>
      <c r="B1139" s="3" t="s">
        <v>11</v>
      </c>
      <c r="C1139" s="6">
        <v>25124.700700000001</v>
      </c>
      <c r="D1139" s="7">
        <v>27676.727599999998</v>
      </c>
    </row>
    <row r="1140" spans="1:4" s="1" customFormat="1" ht="19.75" customHeight="1" x14ac:dyDescent="0.25">
      <c r="A1140" s="8">
        <f>2013</f>
        <v>2013</v>
      </c>
      <c r="B1140" s="3" t="s">
        <v>105</v>
      </c>
      <c r="C1140" s="4">
        <v>9251.4915000000001</v>
      </c>
      <c r="D1140" s="5">
        <v>10318.057000000001</v>
      </c>
    </row>
    <row r="1141" spans="1:4" s="1" customFormat="1" ht="19.75" customHeight="1" x14ac:dyDescent="0.25">
      <c r="A1141" s="8">
        <f>2013</f>
        <v>2013</v>
      </c>
      <c r="B1141" s="3" t="s">
        <v>109</v>
      </c>
      <c r="C1141" s="6">
        <v>9051.8845000000001</v>
      </c>
      <c r="D1141" s="7">
        <v>9658.8824999999997</v>
      </c>
    </row>
    <row r="1142" spans="1:4" s="1" customFormat="1" ht="19.75" customHeight="1" x14ac:dyDescent="0.25">
      <c r="A1142" s="8">
        <f>2013</f>
        <v>2013</v>
      </c>
      <c r="B1142" s="3" t="s">
        <v>12</v>
      </c>
      <c r="C1142" s="4">
        <v>27182.574400000001</v>
      </c>
      <c r="D1142" s="5">
        <v>33733.680699999997</v>
      </c>
    </row>
    <row r="1143" spans="1:4" s="1" customFormat="1" ht="19.75" customHeight="1" x14ac:dyDescent="0.25">
      <c r="A1143" s="8">
        <f>2013</f>
        <v>2013</v>
      </c>
      <c r="B1143" s="3" t="s">
        <v>14</v>
      </c>
      <c r="C1143" s="6">
        <v>2188.75</v>
      </c>
      <c r="D1143" s="7">
        <v>2462.3868000000002</v>
      </c>
    </row>
    <row r="1144" spans="1:4" s="1" customFormat="1" ht="19.75" customHeight="1" x14ac:dyDescent="0.25">
      <c r="A1144" s="8">
        <f>2013</f>
        <v>2013</v>
      </c>
      <c r="B1144" s="3" t="s">
        <v>15</v>
      </c>
      <c r="C1144" s="4">
        <v>1320.8642</v>
      </c>
      <c r="D1144" s="5">
        <v>1415.4469999999999</v>
      </c>
    </row>
    <row r="1145" spans="1:4" s="1" customFormat="1" ht="19.75" customHeight="1" x14ac:dyDescent="0.25">
      <c r="A1145" s="8">
        <f>2013</f>
        <v>2013</v>
      </c>
      <c r="B1145" s="3" t="s">
        <v>16</v>
      </c>
      <c r="C1145" s="6">
        <v>916.10310000000004</v>
      </c>
      <c r="D1145" s="7">
        <v>1033.1223</v>
      </c>
    </row>
    <row r="1146" spans="1:4" s="1" customFormat="1" ht="19.75" customHeight="1" x14ac:dyDescent="0.25">
      <c r="A1146" s="8">
        <f>2013</f>
        <v>2013</v>
      </c>
      <c r="B1146" s="3" t="s">
        <v>17</v>
      </c>
      <c r="C1146" s="4">
        <v>1307.9989</v>
      </c>
      <c r="D1146" s="5">
        <v>1422.297</v>
      </c>
    </row>
    <row r="1147" spans="1:4" s="1" customFormat="1" ht="19.75" customHeight="1" x14ac:dyDescent="0.25">
      <c r="A1147" s="8">
        <f>2013</f>
        <v>2013</v>
      </c>
      <c r="B1147" s="3" t="s">
        <v>18</v>
      </c>
      <c r="C1147" s="6">
        <v>6167.5657000000001</v>
      </c>
      <c r="D1147" s="7">
        <v>6832.0055000000002</v>
      </c>
    </row>
    <row r="1148" spans="1:4" s="1" customFormat="1" ht="19.75" customHeight="1" x14ac:dyDescent="0.25">
      <c r="A1148" s="8">
        <f>2013</f>
        <v>2013</v>
      </c>
      <c r="B1148" s="3" t="s">
        <v>19</v>
      </c>
      <c r="C1148" s="4">
        <v>35064.873599999999</v>
      </c>
      <c r="D1148" s="5">
        <v>41917.496200000001</v>
      </c>
    </row>
    <row r="1149" spans="1:4" s="1" customFormat="1" ht="19.75" customHeight="1" x14ac:dyDescent="0.25">
      <c r="A1149" s="8">
        <f>2013</f>
        <v>2013</v>
      </c>
      <c r="B1149" s="3" t="s">
        <v>20</v>
      </c>
      <c r="C1149" s="6">
        <v>40075.596899999997</v>
      </c>
      <c r="D1149" s="7">
        <v>48421.2981</v>
      </c>
    </row>
    <row r="1150" spans="1:4" s="1" customFormat="1" ht="19.75" customHeight="1" x14ac:dyDescent="0.25">
      <c r="A1150" s="8">
        <f>2013</f>
        <v>2013</v>
      </c>
      <c r="B1150" s="3" t="s">
        <v>23</v>
      </c>
      <c r="C1150" s="4">
        <v>6983.2322999999997</v>
      </c>
      <c r="D1150" s="5">
        <v>8346.1931000000004</v>
      </c>
    </row>
    <row r="1151" spans="1:4" s="1" customFormat="1" ht="19.75" customHeight="1" x14ac:dyDescent="0.25">
      <c r="A1151" s="8">
        <f>2013</f>
        <v>2013</v>
      </c>
      <c r="B1151" s="3" t="s">
        <v>120</v>
      </c>
      <c r="C1151" s="6">
        <v>4861.5770000000002</v>
      </c>
      <c r="D1151" s="7">
        <v>5588.4561999999996</v>
      </c>
    </row>
    <row r="1152" spans="1:4" s="1" customFormat="1" ht="19.75" customHeight="1" x14ac:dyDescent="0.25">
      <c r="A1152" s="8">
        <f>2013</f>
        <v>2013</v>
      </c>
      <c r="B1152" s="3" t="s">
        <v>24</v>
      </c>
      <c r="C1152" s="4">
        <v>6136.8010000000004</v>
      </c>
      <c r="D1152" s="5">
        <v>6620.5273999999999</v>
      </c>
    </row>
    <row r="1153" spans="1:4" s="1" customFormat="1" ht="19.75" customHeight="1" x14ac:dyDescent="0.25">
      <c r="A1153" s="8">
        <f>2013</f>
        <v>2013</v>
      </c>
      <c r="B1153" s="3" t="s">
        <v>25</v>
      </c>
      <c r="C1153" s="6">
        <v>3764.2881000000002</v>
      </c>
      <c r="D1153" s="7">
        <v>4161.9294</v>
      </c>
    </row>
    <row r="1154" spans="1:4" s="1" customFormat="1" ht="19.75" customHeight="1" x14ac:dyDescent="0.25">
      <c r="A1154" s="8">
        <f>2013</f>
        <v>2013</v>
      </c>
      <c r="B1154" s="3" t="s">
        <v>26</v>
      </c>
      <c r="C1154" s="4">
        <v>4242.4290000000001</v>
      </c>
      <c r="D1154" s="5">
        <v>4694.9906000000001</v>
      </c>
    </row>
    <row r="1155" spans="1:4" s="1" customFormat="1" ht="19.75" customHeight="1" x14ac:dyDescent="0.25">
      <c r="A1155" s="8">
        <f>2013</f>
        <v>2013</v>
      </c>
      <c r="B1155" s="3" t="s">
        <v>27</v>
      </c>
      <c r="C1155" s="6">
        <v>8042.4895999999999</v>
      </c>
      <c r="D1155" s="7">
        <v>9203.1545000000006</v>
      </c>
    </row>
    <row r="1156" spans="1:4" s="1" customFormat="1" ht="19.75" customHeight="1" x14ac:dyDescent="0.25">
      <c r="A1156" s="8">
        <f>2013</f>
        <v>2013</v>
      </c>
      <c r="B1156" s="3" t="s">
        <v>106</v>
      </c>
      <c r="C1156" s="4">
        <v>1760.5481</v>
      </c>
      <c r="D1156" s="5">
        <v>1957.6143999999999</v>
      </c>
    </row>
    <row r="1157" spans="1:4" s="1" customFormat="1" ht="19.75" customHeight="1" x14ac:dyDescent="0.25">
      <c r="A1157" s="8">
        <f>2013</f>
        <v>2013</v>
      </c>
      <c r="B1157" s="3" t="s">
        <v>28</v>
      </c>
      <c r="C1157" s="6">
        <v>392.71230000000003</v>
      </c>
      <c r="D1157" s="7">
        <v>422.97410000000002</v>
      </c>
    </row>
    <row r="1158" spans="1:4" s="1" customFormat="1" ht="19.75" customHeight="1" x14ac:dyDescent="0.25">
      <c r="A1158" s="8">
        <f>2013</f>
        <v>2013</v>
      </c>
      <c r="B1158" s="3" t="s">
        <v>29</v>
      </c>
      <c r="C1158" s="4">
        <v>879.32090000000005</v>
      </c>
      <c r="D1158" s="5">
        <v>1005.759</v>
      </c>
    </row>
    <row r="1159" spans="1:4" s="1" customFormat="1" ht="19.75" customHeight="1" x14ac:dyDescent="0.25">
      <c r="A1159" s="8">
        <f>2013</f>
        <v>2013</v>
      </c>
      <c r="B1159" s="3" t="s">
        <v>30</v>
      </c>
      <c r="C1159" s="6">
        <v>4434.2905000000001</v>
      </c>
      <c r="D1159" s="7">
        <v>4769.2187999999996</v>
      </c>
    </row>
    <row r="1160" spans="1:4" s="1" customFormat="1" ht="19.75" customHeight="1" x14ac:dyDescent="0.25">
      <c r="A1160" s="8">
        <f>2013</f>
        <v>2013</v>
      </c>
      <c r="B1160" s="3" t="s">
        <v>31</v>
      </c>
      <c r="C1160" s="4">
        <v>2470.3687</v>
      </c>
      <c r="D1160" s="5">
        <v>2719.0859999999998</v>
      </c>
    </row>
    <row r="1161" spans="1:4" s="1" customFormat="1" ht="19.75" customHeight="1" x14ac:dyDescent="0.25">
      <c r="A1161" s="8">
        <f>2013</f>
        <v>2013</v>
      </c>
      <c r="B1161" s="3" t="s">
        <v>32</v>
      </c>
      <c r="C1161" s="6">
        <v>8293.9991000000009</v>
      </c>
      <c r="D1161" s="7">
        <v>9551.4316999999992</v>
      </c>
    </row>
    <row r="1162" spans="1:4" s="1" customFormat="1" ht="19.75" customHeight="1" x14ac:dyDescent="0.25">
      <c r="A1162" s="8">
        <f>2013</f>
        <v>2013</v>
      </c>
      <c r="B1162" s="3" t="s">
        <v>92</v>
      </c>
      <c r="C1162" s="4">
        <v>6.9074</v>
      </c>
      <c r="D1162" s="5">
        <v>25.227799999999998</v>
      </c>
    </row>
    <row r="1163" spans="1:4" s="1" customFormat="1" ht="19.75" customHeight="1" x14ac:dyDescent="0.25">
      <c r="A1163" s="8">
        <f>2013</f>
        <v>2013</v>
      </c>
      <c r="B1163" s="3" t="s">
        <v>97</v>
      </c>
      <c r="C1163" s="6">
        <v>117.5819</v>
      </c>
      <c r="D1163" s="7">
        <v>124.2329</v>
      </c>
    </row>
    <row r="1164" spans="1:4" s="1" customFormat="1" ht="19.75" customHeight="1" x14ac:dyDescent="0.25">
      <c r="A1164" s="8">
        <f>2013</f>
        <v>2013</v>
      </c>
      <c r="B1164" s="3" t="s">
        <v>34</v>
      </c>
      <c r="C1164" s="4">
        <v>88.589600000000004</v>
      </c>
      <c r="D1164" s="5">
        <v>655.90480000000002</v>
      </c>
    </row>
    <row r="1165" spans="1:4" s="1" customFormat="1" ht="30.4" customHeight="1" x14ac:dyDescent="0.25">
      <c r="A1165" s="8">
        <f>2013</f>
        <v>2013</v>
      </c>
      <c r="B1165" s="3" t="s">
        <v>35</v>
      </c>
      <c r="C1165" s="6">
        <v>281.27050000000003</v>
      </c>
      <c r="D1165" s="7">
        <v>330.85109999999997</v>
      </c>
    </row>
    <row r="1166" spans="1:4" s="1" customFormat="1" ht="19.75" customHeight="1" x14ac:dyDescent="0.25">
      <c r="A1166" s="8">
        <f>2013</f>
        <v>2013</v>
      </c>
      <c r="B1166" s="3" t="s">
        <v>36</v>
      </c>
      <c r="C1166" s="4">
        <v>1335.1641999999999</v>
      </c>
      <c r="D1166" s="5">
        <v>1817.4907000000001</v>
      </c>
    </row>
    <row r="1167" spans="1:4" s="1" customFormat="1" ht="19.75" customHeight="1" x14ac:dyDescent="0.25">
      <c r="A1167" s="8">
        <f>2013</f>
        <v>2013</v>
      </c>
      <c r="B1167" s="3" t="s">
        <v>37</v>
      </c>
      <c r="C1167" s="6">
        <v>94.650599999999997</v>
      </c>
      <c r="D1167" s="7">
        <v>105.1061</v>
      </c>
    </row>
    <row r="1168" spans="1:4" s="1" customFormat="1" ht="19.75" customHeight="1" x14ac:dyDescent="0.25">
      <c r="A1168" s="8">
        <f>2013</f>
        <v>2013</v>
      </c>
      <c r="B1168" s="3" t="s">
        <v>38</v>
      </c>
      <c r="C1168" s="4">
        <v>24.192</v>
      </c>
      <c r="D1168" s="5">
        <v>29.2102</v>
      </c>
    </row>
    <row r="1169" spans="1:4" s="1" customFormat="1" ht="19.75" customHeight="1" x14ac:dyDescent="0.25">
      <c r="A1169" s="8">
        <f>2013</f>
        <v>2013</v>
      </c>
      <c r="B1169" s="3" t="s">
        <v>40</v>
      </c>
      <c r="C1169" s="6">
        <v>800.22749999999996</v>
      </c>
      <c r="D1169" s="7">
        <v>1040.7128</v>
      </c>
    </row>
    <row r="1170" spans="1:4" s="1" customFormat="1" ht="19.75" customHeight="1" x14ac:dyDescent="0.25">
      <c r="A1170" s="8">
        <f>2013</f>
        <v>2013</v>
      </c>
      <c r="B1170" s="3" t="s">
        <v>41</v>
      </c>
      <c r="C1170" s="4">
        <v>1508.5930000000001</v>
      </c>
      <c r="D1170" s="5">
        <v>1763.9585999999999</v>
      </c>
    </row>
    <row r="1171" spans="1:4" s="1" customFormat="1" ht="19.75" customHeight="1" x14ac:dyDescent="0.25">
      <c r="A1171" s="8">
        <f>2013</f>
        <v>2013</v>
      </c>
      <c r="B1171" s="3" t="s">
        <v>42</v>
      </c>
      <c r="C1171" s="6">
        <v>864.64930000000004</v>
      </c>
      <c r="D1171" s="7">
        <v>1146.6482000000001</v>
      </c>
    </row>
    <row r="1172" spans="1:4" s="1" customFormat="1" ht="19.75" customHeight="1" x14ac:dyDescent="0.25">
      <c r="A1172" s="8">
        <f>2013</f>
        <v>2013</v>
      </c>
      <c r="B1172" s="3" t="s">
        <v>43</v>
      </c>
      <c r="C1172" s="4">
        <v>8916.14</v>
      </c>
      <c r="D1172" s="5">
        <v>10913.36</v>
      </c>
    </row>
    <row r="1173" spans="1:4" s="1" customFormat="1" ht="19.75" customHeight="1" x14ac:dyDescent="0.25">
      <c r="A1173" s="8">
        <f>2013</f>
        <v>2013</v>
      </c>
      <c r="B1173" s="3" t="s">
        <v>118</v>
      </c>
      <c r="C1173" s="6">
        <v>17.419499999999999</v>
      </c>
      <c r="D1173" s="7">
        <v>22.512899999999998</v>
      </c>
    </row>
    <row r="1174" spans="1:4" s="1" customFormat="1" ht="19.75" customHeight="1" x14ac:dyDescent="0.25">
      <c r="A1174" s="8">
        <f>2013</f>
        <v>2013</v>
      </c>
      <c r="B1174" s="3" t="s">
        <v>44</v>
      </c>
      <c r="C1174" s="4">
        <v>71.990799999999993</v>
      </c>
      <c r="D1174" s="5">
        <v>92.872600000000006</v>
      </c>
    </row>
    <row r="1175" spans="1:4" s="1" customFormat="1" ht="19.75" customHeight="1" x14ac:dyDescent="0.25">
      <c r="A1175" s="8">
        <f>2013</f>
        <v>2013</v>
      </c>
      <c r="B1175" s="3" t="s">
        <v>45</v>
      </c>
      <c r="C1175" s="6">
        <v>431.23489999999998</v>
      </c>
      <c r="D1175" s="7">
        <v>523.40480000000002</v>
      </c>
    </row>
    <row r="1176" spans="1:4" s="1" customFormat="1" ht="19.75" customHeight="1" x14ac:dyDescent="0.25">
      <c r="A1176" s="8">
        <f>2013</f>
        <v>2013</v>
      </c>
      <c r="B1176" s="3" t="s">
        <v>93</v>
      </c>
      <c r="C1176" s="4">
        <v>217.18709999999999</v>
      </c>
      <c r="D1176" s="5">
        <v>307.38350000000003</v>
      </c>
    </row>
    <row r="1177" spans="1:4" s="1" customFormat="1" ht="19.75" customHeight="1" x14ac:dyDescent="0.25">
      <c r="A1177" s="8">
        <f>2013</f>
        <v>2013</v>
      </c>
      <c r="B1177" s="3" t="s">
        <v>46</v>
      </c>
      <c r="C1177" s="6">
        <v>38.199300000000001</v>
      </c>
      <c r="D1177" s="7">
        <v>43.507399999999997</v>
      </c>
    </row>
    <row r="1178" spans="1:4" s="1" customFormat="1" ht="19.75" customHeight="1" x14ac:dyDescent="0.25">
      <c r="A1178" s="8">
        <f>2013</f>
        <v>2013</v>
      </c>
      <c r="B1178" s="3" t="s">
        <v>47</v>
      </c>
      <c r="C1178" s="4">
        <v>2559.1876000000002</v>
      </c>
      <c r="D1178" s="5">
        <v>2687.9459000000002</v>
      </c>
    </row>
    <row r="1179" spans="1:4" s="1" customFormat="1" ht="19.75" customHeight="1" x14ac:dyDescent="0.25">
      <c r="A1179" s="8">
        <f>2013</f>
        <v>2013</v>
      </c>
      <c r="B1179" s="3" t="s">
        <v>48</v>
      </c>
      <c r="C1179" s="6">
        <v>2703.0877999999998</v>
      </c>
      <c r="D1179" s="7">
        <v>3639.4686999999999</v>
      </c>
    </row>
    <row r="1180" spans="1:4" s="1" customFormat="1" ht="19.75" customHeight="1" x14ac:dyDescent="0.25">
      <c r="A1180" s="8">
        <f>2013</f>
        <v>2013</v>
      </c>
      <c r="B1180" s="3" t="s">
        <v>52</v>
      </c>
      <c r="C1180" s="4">
        <v>76.677999999999997</v>
      </c>
      <c r="D1180" s="5">
        <v>105.8567</v>
      </c>
    </row>
    <row r="1181" spans="1:4" s="1" customFormat="1" ht="19.75" customHeight="1" x14ac:dyDescent="0.25">
      <c r="A1181" s="8">
        <f>2013</f>
        <v>2013</v>
      </c>
      <c r="B1181" s="3" t="s">
        <v>98</v>
      </c>
      <c r="C1181" s="6">
        <v>7033.1774999999998</v>
      </c>
      <c r="D1181" s="7">
        <v>8757.3978000000006</v>
      </c>
    </row>
    <row r="1182" spans="1:4" s="1" customFormat="1" ht="19.75" customHeight="1" x14ac:dyDescent="0.25">
      <c r="A1182" s="8">
        <f>2013</f>
        <v>2013</v>
      </c>
      <c r="B1182" s="3" t="s">
        <v>121</v>
      </c>
      <c r="C1182" s="4">
        <v>17.305599999999998</v>
      </c>
      <c r="D1182" s="5">
        <v>48.840400000000002</v>
      </c>
    </row>
    <row r="1183" spans="1:4" s="1" customFormat="1" ht="19.75" customHeight="1" x14ac:dyDescent="0.25">
      <c r="A1183" s="8">
        <f>2013</f>
        <v>2013</v>
      </c>
      <c r="B1183" s="3" t="s">
        <v>53</v>
      </c>
      <c r="C1183" s="6">
        <v>57.831200000000003</v>
      </c>
      <c r="D1183" s="7">
        <v>59.657499999999999</v>
      </c>
    </row>
    <row r="1184" spans="1:4" s="1" customFormat="1" ht="19.75" customHeight="1" x14ac:dyDescent="0.25">
      <c r="A1184" s="8">
        <f>2013</f>
        <v>2013</v>
      </c>
      <c r="B1184" s="3" t="s">
        <v>55</v>
      </c>
      <c r="C1184" s="4">
        <v>1545.1392000000001</v>
      </c>
      <c r="D1184" s="5">
        <v>2107.1597000000002</v>
      </c>
    </row>
    <row r="1185" spans="1:4" s="1" customFormat="1" ht="19.75" customHeight="1" x14ac:dyDescent="0.25">
      <c r="A1185" s="8">
        <f>2013</f>
        <v>2013</v>
      </c>
      <c r="B1185" s="3" t="s">
        <v>56</v>
      </c>
      <c r="C1185" s="6">
        <v>13.4064</v>
      </c>
      <c r="D1185" s="7">
        <v>15.777699999999999</v>
      </c>
    </row>
    <row r="1186" spans="1:4" s="1" customFormat="1" ht="19.75" customHeight="1" x14ac:dyDescent="0.25">
      <c r="A1186" s="8">
        <f>2013</f>
        <v>2013</v>
      </c>
      <c r="B1186" s="3" t="s">
        <v>119</v>
      </c>
      <c r="C1186" s="4">
        <v>57.234000000000002</v>
      </c>
      <c r="D1186" s="5">
        <v>81.360399999999998</v>
      </c>
    </row>
    <row r="1187" spans="1:4" s="1" customFormat="1" ht="19.75" customHeight="1" x14ac:dyDescent="0.25">
      <c r="A1187" s="8">
        <f>2013</f>
        <v>2013</v>
      </c>
      <c r="B1187" s="3" t="s">
        <v>94</v>
      </c>
      <c r="C1187" s="6">
        <v>16.577300000000001</v>
      </c>
      <c r="D1187" s="7">
        <v>18.120200000000001</v>
      </c>
    </row>
    <row r="1188" spans="1:4" s="1" customFormat="1" ht="19.75" customHeight="1" x14ac:dyDescent="0.25">
      <c r="A1188" s="8">
        <f>2013</f>
        <v>2013</v>
      </c>
      <c r="B1188" s="3" t="s">
        <v>59</v>
      </c>
      <c r="C1188" s="4">
        <v>9.8209</v>
      </c>
      <c r="D1188" s="5">
        <v>30.414899999999999</v>
      </c>
    </row>
    <row r="1189" spans="1:4" s="1" customFormat="1" ht="19.75" customHeight="1" x14ac:dyDescent="0.25">
      <c r="A1189" s="8">
        <f>2013</f>
        <v>2013</v>
      </c>
      <c r="B1189" s="3" t="s">
        <v>60</v>
      </c>
      <c r="C1189" s="6">
        <v>424.76620000000003</v>
      </c>
      <c r="D1189" s="7">
        <v>520.67650000000003</v>
      </c>
    </row>
    <row r="1190" spans="1:4" s="1" customFormat="1" ht="19.75" customHeight="1" x14ac:dyDescent="0.25">
      <c r="A1190" s="8">
        <f>2013</f>
        <v>2013</v>
      </c>
      <c r="B1190" s="3" t="s">
        <v>61</v>
      </c>
      <c r="C1190" s="4">
        <v>821.67079999999999</v>
      </c>
      <c r="D1190" s="5">
        <v>994.97540000000004</v>
      </c>
    </row>
    <row r="1191" spans="1:4" s="1" customFormat="1" ht="19.75" customHeight="1" x14ac:dyDescent="0.25">
      <c r="A1191" s="8">
        <f>2013</f>
        <v>2013</v>
      </c>
      <c r="B1191" s="3" t="s">
        <v>110</v>
      </c>
      <c r="C1191" s="6">
        <v>12.358599999999999</v>
      </c>
      <c r="D1191" s="7">
        <v>13.713800000000001</v>
      </c>
    </row>
    <row r="1192" spans="1:4" s="1" customFormat="1" ht="19.75" customHeight="1" x14ac:dyDescent="0.25">
      <c r="A1192" s="8">
        <f>2013</f>
        <v>2013</v>
      </c>
      <c r="B1192" s="3" t="s">
        <v>64</v>
      </c>
      <c r="C1192" s="4">
        <v>3.2631999999999999</v>
      </c>
      <c r="D1192" s="5">
        <v>3.3308</v>
      </c>
    </row>
    <row r="1193" spans="1:4" s="1" customFormat="1" ht="19.75" customHeight="1" x14ac:dyDescent="0.25">
      <c r="A1193" s="8">
        <f>2013</f>
        <v>2013</v>
      </c>
      <c r="B1193" s="3" t="s">
        <v>66</v>
      </c>
      <c r="C1193" s="6">
        <v>11.701000000000001</v>
      </c>
      <c r="D1193" s="7">
        <v>11.979900000000001</v>
      </c>
    </row>
    <row r="1194" spans="1:4" s="1" customFormat="1" ht="19.75" customHeight="1" x14ac:dyDescent="0.25">
      <c r="A1194" s="8">
        <f>2013</f>
        <v>2013</v>
      </c>
      <c r="B1194" s="3" t="s">
        <v>67</v>
      </c>
      <c r="C1194" s="4">
        <v>146.01400000000001</v>
      </c>
      <c r="D1194" s="5">
        <v>166.2028</v>
      </c>
    </row>
    <row r="1195" spans="1:4" s="1" customFormat="1" ht="19.75" customHeight="1" x14ac:dyDescent="0.25">
      <c r="A1195" s="8">
        <f>2013</f>
        <v>2013</v>
      </c>
      <c r="B1195" s="3" t="s">
        <v>68</v>
      </c>
      <c r="C1195" s="6">
        <v>205.02279999999999</v>
      </c>
      <c r="D1195" s="7">
        <v>224.38720000000001</v>
      </c>
    </row>
    <row r="1196" spans="1:4" s="1" customFormat="1" ht="19.75" customHeight="1" x14ac:dyDescent="0.25">
      <c r="A1196" s="8">
        <f>2013</f>
        <v>2013</v>
      </c>
      <c r="B1196" s="3" t="s">
        <v>69</v>
      </c>
      <c r="C1196" s="4">
        <v>243.56030000000001</v>
      </c>
      <c r="D1196" s="5">
        <v>253.8278</v>
      </c>
    </row>
    <row r="1197" spans="1:4" s="1" customFormat="1" ht="19.75" customHeight="1" x14ac:dyDescent="0.25">
      <c r="A1197" s="8">
        <f>2013</f>
        <v>2013</v>
      </c>
      <c r="B1197" s="3" t="s">
        <v>95</v>
      </c>
      <c r="C1197" s="6">
        <v>3.2944</v>
      </c>
      <c r="D1197" s="7">
        <v>10.6624</v>
      </c>
    </row>
    <row r="1198" spans="1:4" s="1" customFormat="1" ht="19.75" customHeight="1" x14ac:dyDescent="0.25">
      <c r="A1198" s="8">
        <f>2013</f>
        <v>2013</v>
      </c>
      <c r="B1198" s="3" t="s">
        <v>71</v>
      </c>
      <c r="C1198" s="4">
        <v>9083.4940999999999</v>
      </c>
      <c r="D1198" s="5">
        <v>11890.7147</v>
      </c>
    </row>
    <row r="1199" spans="1:4" s="1" customFormat="1" ht="19.75" customHeight="1" x14ac:dyDescent="0.25">
      <c r="A1199" s="8">
        <f>2013</f>
        <v>2013</v>
      </c>
      <c r="B1199" s="3" t="s">
        <v>72</v>
      </c>
      <c r="C1199" s="6">
        <v>10.235200000000001</v>
      </c>
      <c r="D1199" s="7">
        <v>10.2392</v>
      </c>
    </row>
    <row r="1200" spans="1:4" s="1" customFormat="1" ht="19.75" customHeight="1" x14ac:dyDescent="0.25">
      <c r="A1200" s="8">
        <f>2013</f>
        <v>2013</v>
      </c>
      <c r="B1200" s="3" t="s">
        <v>99</v>
      </c>
      <c r="C1200" s="4">
        <v>1890.4073000000001</v>
      </c>
      <c r="D1200" s="5">
        <v>2437.3941</v>
      </c>
    </row>
    <row r="1201" spans="1:4" s="1" customFormat="1" ht="19.75" customHeight="1" x14ac:dyDescent="0.25">
      <c r="A1201" s="8">
        <f>2013</f>
        <v>2013</v>
      </c>
      <c r="B1201" s="3" t="s">
        <v>74</v>
      </c>
      <c r="C1201" s="6">
        <v>427.48160000000001</v>
      </c>
      <c r="D1201" s="7">
        <v>376.9794</v>
      </c>
    </row>
    <row r="1202" spans="1:4" s="1" customFormat="1" ht="19.75" customHeight="1" x14ac:dyDescent="0.25">
      <c r="A1202" s="8">
        <f>2013</f>
        <v>2013</v>
      </c>
      <c r="B1202" s="3" t="s">
        <v>75</v>
      </c>
      <c r="C1202" s="4">
        <v>13.8706</v>
      </c>
      <c r="D1202" s="5">
        <v>14.5923</v>
      </c>
    </row>
    <row r="1203" spans="1:4" s="1" customFormat="1" ht="19.75" customHeight="1" x14ac:dyDescent="0.25">
      <c r="A1203" s="8">
        <f>2013</f>
        <v>2013</v>
      </c>
      <c r="B1203" s="3" t="s">
        <v>107</v>
      </c>
      <c r="C1203" s="6">
        <v>27.462700000000002</v>
      </c>
      <c r="D1203" s="7">
        <v>31.621099999999998</v>
      </c>
    </row>
    <row r="1204" spans="1:4" s="1" customFormat="1" ht="19.75" customHeight="1" x14ac:dyDescent="0.25">
      <c r="A1204" s="8">
        <f>2013</f>
        <v>2013</v>
      </c>
      <c r="B1204" s="3" t="s">
        <v>76</v>
      </c>
      <c r="C1204" s="4">
        <v>20.594000000000001</v>
      </c>
      <c r="D1204" s="5">
        <v>21.575299999999999</v>
      </c>
    </row>
    <row r="1205" spans="1:4" s="1" customFormat="1" ht="19.75" customHeight="1" x14ac:dyDescent="0.25">
      <c r="A1205" s="8">
        <f>2012</f>
        <v>2012</v>
      </c>
      <c r="B1205" s="3" t="s">
        <v>112</v>
      </c>
      <c r="C1205" s="6">
        <v>6291.3575000000001</v>
      </c>
      <c r="D1205" s="7">
        <v>6890.3293000000003</v>
      </c>
    </row>
    <row r="1206" spans="1:4" s="1" customFormat="1" ht="19.75" customHeight="1" x14ac:dyDescent="0.25">
      <c r="A1206" s="8">
        <f>2012</f>
        <v>2012</v>
      </c>
      <c r="B1206" s="3" t="s">
        <v>113</v>
      </c>
      <c r="C1206" s="4">
        <v>10646.6674</v>
      </c>
      <c r="D1206" s="5">
        <v>11670.9763</v>
      </c>
    </row>
    <row r="1207" spans="1:4" s="1" customFormat="1" ht="19.75" customHeight="1" x14ac:dyDescent="0.25">
      <c r="A1207" s="8">
        <f>2012</f>
        <v>2012</v>
      </c>
      <c r="B1207" s="3" t="s">
        <v>9</v>
      </c>
      <c r="C1207" s="6">
        <v>106521.4534</v>
      </c>
      <c r="D1207" s="7">
        <v>120872.8991</v>
      </c>
    </row>
    <row r="1208" spans="1:4" s="1" customFormat="1" ht="19.75" customHeight="1" x14ac:dyDescent="0.25">
      <c r="A1208" s="8">
        <f>2012</f>
        <v>2012</v>
      </c>
      <c r="B1208" s="3" t="s">
        <v>114</v>
      </c>
      <c r="C1208" s="4">
        <v>5078.4313000000002</v>
      </c>
      <c r="D1208" s="5">
        <v>5594.8247000000001</v>
      </c>
    </row>
    <row r="1209" spans="1:4" s="1" customFormat="1" ht="19.75" customHeight="1" x14ac:dyDescent="0.25">
      <c r="A1209" s="8">
        <f>2012</f>
        <v>2012</v>
      </c>
      <c r="B1209" s="3" t="s">
        <v>115</v>
      </c>
      <c r="C1209" s="6">
        <v>8121.0996999999998</v>
      </c>
      <c r="D1209" s="7">
        <v>8872.1312999999991</v>
      </c>
    </row>
    <row r="1210" spans="1:4" s="1" customFormat="1" ht="19.75" customHeight="1" x14ac:dyDescent="0.25">
      <c r="A1210" s="8">
        <f>2012</f>
        <v>2012</v>
      </c>
      <c r="B1210" s="3" t="s">
        <v>116</v>
      </c>
      <c r="C1210" s="4">
        <v>6896.1409000000003</v>
      </c>
      <c r="D1210" s="5">
        <v>7477.0487000000003</v>
      </c>
    </row>
    <row r="1211" spans="1:4" s="1" customFormat="1" ht="19.75" customHeight="1" x14ac:dyDescent="0.25">
      <c r="A1211" s="8">
        <f>2012</f>
        <v>2012</v>
      </c>
      <c r="B1211" s="3" t="s">
        <v>100</v>
      </c>
      <c r="C1211" s="6">
        <v>15523.277599999999</v>
      </c>
      <c r="D1211" s="7">
        <v>16821.9568</v>
      </c>
    </row>
    <row r="1212" spans="1:4" s="1" customFormat="1" ht="19.75" customHeight="1" x14ac:dyDescent="0.25">
      <c r="A1212" s="8">
        <f>2012</f>
        <v>2012</v>
      </c>
      <c r="B1212" s="3" t="s">
        <v>101</v>
      </c>
      <c r="C1212" s="4">
        <v>11338.728300000001</v>
      </c>
      <c r="D1212" s="5">
        <v>12198.6579</v>
      </c>
    </row>
    <row r="1213" spans="1:4" s="1" customFormat="1" ht="19.75" customHeight="1" x14ac:dyDescent="0.25">
      <c r="A1213" s="8">
        <f>2012</f>
        <v>2012</v>
      </c>
      <c r="B1213" s="3" t="s">
        <v>0</v>
      </c>
      <c r="C1213" s="6">
        <v>29673.724200000001</v>
      </c>
      <c r="D1213" s="7">
        <v>33096.0524</v>
      </c>
    </row>
    <row r="1214" spans="1:4" s="1" customFormat="1" ht="19.75" customHeight="1" x14ac:dyDescent="0.25">
      <c r="A1214" s="8">
        <f>2012</f>
        <v>2012</v>
      </c>
      <c r="B1214" s="3" t="s">
        <v>1</v>
      </c>
      <c r="C1214" s="4">
        <v>28480.666399999998</v>
      </c>
      <c r="D1214" s="5">
        <v>31801.839599999999</v>
      </c>
    </row>
    <row r="1215" spans="1:4" s="1" customFormat="1" ht="19.75" customHeight="1" x14ac:dyDescent="0.25">
      <c r="A1215" s="8">
        <f>2012</f>
        <v>2012</v>
      </c>
      <c r="B1215" s="3" t="s">
        <v>2</v>
      </c>
      <c r="C1215" s="6">
        <v>7213.9643999999998</v>
      </c>
      <c r="D1215" s="7">
        <v>7854.6305000000002</v>
      </c>
    </row>
    <row r="1216" spans="1:4" s="1" customFormat="1" ht="19.75" customHeight="1" x14ac:dyDescent="0.25">
      <c r="A1216" s="8">
        <f>2012</f>
        <v>2012</v>
      </c>
      <c r="B1216" s="3" t="s">
        <v>3</v>
      </c>
      <c r="C1216" s="4">
        <v>30850.621500000001</v>
      </c>
      <c r="D1216" s="5">
        <v>33778.218000000001</v>
      </c>
    </row>
    <row r="1217" spans="1:4" s="1" customFormat="1" ht="19.75" customHeight="1" x14ac:dyDescent="0.25">
      <c r="A1217" s="8">
        <f>2012</f>
        <v>2012</v>
      </c>
      <c r="B1217" s="3" t="s">
        <v>4</v>
      </c>
      <c r="C1217" s="6">
        <v>19149.499400000001</v>
      </c>
      <c r="D1217" s="7">
        <v>20544.800999999999</v>
      </c>
    </row>
    <row r="1218" spans="1:4" s="1" customFormat="1" ht="19.75" customHeight="1" x14ac:dyDescent="0.25">
      <c r="A1218" s="8">
        <f>2012</f>
        <v>2012</v>
      </c>
      <c r="B1218" s="3" t="s">
        <v>102</v>
      </c>
      <c r="C1218" s="4">
        <v>13017.7842</v>
      </c>
      <c r="D1218" s="5">
        <v>14510.4036</v>
      </c>
    </row>
    <row r="1219" spans="1:4" s="1" customFormat="1" ht="19.75" customHeight="1" x14ac:dyDescent="0.25">
      <c r="A1219" s="8">
        <f>2012</f>
        <v>2012</v>
      </c>
      <c r="B1219" s="3" t="s">
        <v>108</v>
      </c>
      <c r="C1219" s="6">
        <v>6794.1278000000002</v>
      </c>
      <c r="D1219" s="7">
        <v>7376.2979999999998</v>
      </c>
    </row>
    <row r="1220" spans="1:4" s="1" customFormat="1" ht="19.75" customHeight="1" x14ac:dyDescent="0.25">
      <c r="A1220" s="8">
        <f>2012</f>
        <v>2012</v>
      </c>
      <c r="B1220" s="3" t="s">
        <v>21</v>
      </c>
      <c r="C1220" s="4">
        <v>23369.929899999999</v>
      </c>
      <c r="D1220" s="5">
        <v>25482.1139</v>
      </c>
    </row>
    <row r="1221" spans="1:4" s="1" customFormat="1" ht="19.75" customHeight="1" x14ac:dyDescent="0.25">
      <c r="A1221" s="8">
        <f>2012</f>
        <v>2012</v>
      </c>
      <c r="B1221" s="3" t="s">
        <v>5</v>
      </c>
      <c r="C1221" s="6">
        <v>12231.323</v>
      </c>
      <c r="D1221" s="7">
        <v>13463.483399999999</v>
      </c>
    </row>
    <row r="1222" spans="1:4" s="1" customFormat="1" ht="19.75" customHeight="1" x14ac:dyDescent="0.25">
      <c r="A1222" s="8">
        <f>2012</f>
        <v>2012</v>
      </c>
      <c r="B1222" s="3" t="s">
        <v>6</v>
      </c>
      <c r="C1222" s="4">
        <v>17889.1116</v>
      </c>
      <c r="D1222" s="5">
        <v>19570.154600000002</v>
      </c>
    </row>
    <row r="1223" spans="1:4" s="1" customFormat="1" ht="19.75" customHeight="1" x14ac:dyDescent="0.25">
      <c r="A1223" s="8">
        <f>2012</f>
        <v>2012</v>
      </c>
      <c r="B1223" s="3" t="s">
        <v>103</v>
      </c>
      <c r="C1223" s="6">
        <v>15814.884599999999</v>
      </c>
      <c r="D1223" s="7">
        <v>17055.132399999999</v>
      </c>
    </row>
    <row r="1224" spans="1:4" s="1" customFormat="1" ht="19.75" customHeight="1" x14ac:dyDescent="0.25">
      <c r="A1224" s="8">
        <f>2012</f>
        <v>2012</v>
      </c>
      <c r="B1224" s="3" t="s">
        <v>7</v>
      </c>
      <c r="C1224" s="4">
        <v>6474.5003999999999</v>
      </c>
      <c r="D1224" s="5">
        <v>6891.9645</v>
      </c>
    </row>
    <row r="1225" spans="1:4" s="1" customFormat="1" ht="19.75" customHeight="1" x14ac:dyDescent="0.25">
      <c r="A1225" s="8">
        <f>2012</f>
        <v>2012</v>
      </c>
      <c r="B1225" s="3" t="s">
        <v>8</v>
      </c>
      <c r="C1225" s="6">
        <v>36476.130400000002</v>
      </c>
      <c r="D1225" s="7">
        <v>40678.734700000001</v>
      </c>
    </row>
    <row r="1226" spans="1:4" s="1" customFormat="1" ht="19.75" customHeight="1" x14ac:dyDescent="0.25">
      <c r="A1226" s="8">
        <f>2012</f>
        <v>2012</v>
      </c>
      <c r="B1226" s="3" t="s">
        <v>104</v>
      </c>
      <c r="C1226" s="4">
        <v>15268.3521</v>
      </c>
      <c r="D1226" s="5">
        <v>16344.2318</v>
      </c>
    </row>
    <row r="1227" spans="1:4" s="1" customFormat="1" ht="19.75" customHeight="1" x14ac:dyDescent="0.25">
      <c r="A1227" s="8">
        <f>2012</f>
        <v>2012</v>
      </c>
      <c r="B1227" s="3" t="s">
        <v>10</v>
      </c>
      <c r="C1227" s="6">
        <v>14632.371499999999</v>
      </c>
      <c r="D1227" s="7">
        <v>15597.926600000001</v>
      </c>
    </row>
    <row r="1228" spans="1:4" s="1" customFormat="1" ht="19.75" customHeight="1" x14ac:dyDescent="0.25">
      <c r="A1228" s="8">
        <f>2012</f>
        <v>2012</v>
      </c>
      <c r="B1228" s="3" t="s">
        <v>11</v>
      </c>
      <c r="C1228" s="4">
        <v>21028.452000000001</v>
      </c>
      <c r="D1228" s="5">
        <v>23476.6558</v>
      </c>
    </row>
    <row r="1229" spans="1:4" s="1" customFormat="1" ht="19.75" customHeight="1" x14ac:dyDescent="0.25">
      <c r="A1229" s="8">
        <f>2012</f>
        <v>2012</v>
      </c>
      <c r="B1229" s="3" t="s">
        <v>105</v>
      </c>
      <c r="C1229" s="6">
        <v>7961.0931</v>
      </c>
      <c r="D1229" s="7">
        <v>8693.9969999999994</v>
      </c>
    </row>
    <row r="1230" spans="1:4" s="1" customFormat="1" ht="19.75" customHeight="1" x14ac:dyDescent="0.25">
      <c r="A1230" s="8">
        <f>2012</f>
        <v>2012</v>
      </c>
      <c r="B1230" s="3" t="s">
        <v>109</v>
      </c>
      <c r="C1230" s="4">
        <v>7988.1252999999997</v>
      </c>
      <c r="D1230" s="5">
        <v>8516.0295000000006</v>
      </c>
    </row>
    <row r="1231" spans="1:4" s="1" customFormat="1" ht="19.75" customHeight="1" x14ac:dyDescent="0.25">
      <c r="A1231" s="8">
        <f>2012</f>
        <v>2012</v>
      </c>
      <c r="B1231" s="3" t="s">
        <v>12</v>
      </c>
      <c r="C1231" s="6">
        <v>21994.647400000002</v>
      </c>
      <c r="D1231" s="7">
        <v>27414.863700000002</v>
      </c>
    </row>
    <row r="1232" spans="1:4" s="1" customFormat="1" ht="19.75" customHeight="1" x14ac:dyDescent="0.25">
      <c r="A1232" s="8">
        <f>2012</f>
        <v>2012</v>
      </c>
      <c r="B1232" s="3" t="s">
        <v>14</v>
      </c>
      <c r="C1232" s="4">
        <v>1696.7736</v>
      </c>
      <c r="D1232" s="5">
        <v>1903.9079999999999</v>
      </c>
    </row>
    <row r="1233" spans="1:4" s="1" customFormat="1" ht="19.75" customHeight="1" x14ac:dyDescent="0.25">
      <c r="A1233" s="8">
        <f>2012</f>
        <v>2012</v>
      </c>
      <c r="B1233" s="3" t="s">
        <v>15</v>
      </c>
      <c r="C1233" s="6">
        <v>1075.6339</v>
      </c>
      <c r="D1233" s="7">
        <v>1160.8759</v>
      </c>
    </row>
    <row r="1234" spans="1:4" s="1" customFormat="1" ht="19.75" customHeight="1" x14ac:dyDescent="0.25">
      <c r="A1234" s="8">
        <f>2012</f>
        <v>2012</v>
      </c>
      <c r="B1234" s="3" t="s">
        <v>16</v>
      </c>
      <c r="C1234" s="4">
        <v>716.96910000000003</v>
      </c>
      <c r="D1234" s="5">
        <v>817.34289999999999</v>
      </c>
    </row>
    <row r="1235" spans="1:4" s="1" customFormat="1" ht="19.75" customHeight="1" x14ac:dyDescent="0.25">
      <c r="A1235" s="8">
        <f>2012</f>
        <v>2012</v>
      </c>
      <c r="B1235" s="3" t="s">
        <v>17</v>
      </c>
      <c r="C1235" s="6">
        <v>1393.6542999999999</v>
      </c>
      <c r="D1235" s="7">
        <v>1537.2961</v>
      </c>
    </row>
    <row r="1236" spans="1:4" s="1" customFormat="1" ht="19.75" customHeight="1" x14ac:dyDescent="0.25">
      <c r="A1236" s="8">
        <f>2012</f>
        <v>2012</v>
      </c>
      <c r="B1236" s="3" t="s">
        <v>18</v>
      </c>
      <c r="C1236" s="4">
        <v>5558.3923999999997</v>
      </c>
      <c r="D1236" s="5">
        <v>6090.7356</v>
      </c>
    </row>
    <row r="1237" spans="1:4" s="1" customFormat="1" ht="19.75" customHeight="1" x14ac:dyDescent="0.25">
      <c r="A1237" s="8">
        <f>2012</f>
        <v>2012</v>
      </c>
      <c r="B1237" s="3" t="s">
        <v>19</v>
      </c>
      <c r="C1237" s="6">
        <v>27874.192800000001</v>
      </c>
      <c r="D1237" s="7">
        <v>33657.818299999999</v>
      </c>
    </row>
    <row r="1238" spans="1:4" s="1" customFormat="1" ht="19.75" customHeight="1" x14ac:dyDescent="0.25">
      <c r="A1238" s="8">
        <f>2012</f>
        <v>2012</v>
      </c>
      <c r="B1238" s="3" t="s">
        <v>20</v>
      </c>
      <c r="C1238" s="4">
        <v>33542.652199999997</v>
      </c>
      <c r="D1238" s="5">
        <v>41045.411999999997</v>
      </c>
    </row>
    <row r="1239" spans="1:4" s="1" customFormat="1" ht="19.75" customHeight="1" x14ac:dyDescent="0.25">
      <c r="A1239" s="8">
        <f>2012</f>
        <v>2012</v>
      </c>
      <c r="B1239" s="3" t="s">
        <v>23</v>
      </c>
      <c r="C1239" s="6">
        <v>5359.1926000000003</v>
      </c>
      <c r="D1239" s="7">
        <v>6370.9753000000001</v>
      </c>
    </row>
    <row r="1240" spans="1:4" s="1" customFormat="1" ht="19.75" customHeight="1" x14ac:dyDescent="0.25">
      <c r="A1240" s="8">
        <f>2012</f>
        <v>2012</v>
      </c>
      <c r="B1240" s="3" t="s">
        <v>120</v>
      </c>
      <c r="C1240" s="4">
        <v>3856.8074999999999</v>
      </c>
      <c r="D1240" s="5">
        <v>4526.5640000000003</v>
      </c>
    </row>
    <row r="1241" spans="1:4" s="1" customFormat="1" ht="19.75" customHeight="1" x14ac:dyDescent="0.25">
      <c r="A1241" s="8">
        <f>2012</f>
        <v>2012</v>
      </c>
      <c r="B1241" s="3" t="s">
        <v>24</v>
      </c>
      <c r="C1241" s="6">
        <v>4835.5772999999999</v>
      </c>
      <c r="D1241" s="7">
        <v>5169.7004999999999</v>
      </c>
    </row>
    <row r="1242" spans="1:4" s="1" customFormat="1" ht="19.75" customHeight="1" x14ac:dyDescent="0.25">
      <c r="A1242" s="8">
        <f>2012</f>
        <v>2012</v>
      </c>
      <c r="B1242" s="3" t="s">
        <v>25</v>
      </c>
      <c r="C1242" s="4">
        <v>3100.9953999999998</v>
      </c>
      <c r="D1242" s="5">
        <v>3447.2674000000002</v>
      </c>
    </row>
    <row r="1243" spans="1:4" s="1" customFormat="1" ht="19.75" customHeight="1" x14ac:dyDescent="0.25">
      <c r="A1243" s="8">
        <f>2012</f>
        <v>2012</v>
      </c>
      <c r="B1243" s="3" t="s">
        <v>26</v>
      </c>
      <c r="C1243" s="6">
        <v>3270.3728999999998</v>
      </c>
      <c r="D1243" s="7">
        <v>3620.5228000000002</v>
      </c>
    </row>
    <row r="1244" spans="1:4" s="1" customFormat="1" ht="19.75" customHeight="1" x14ac:dyDescent="0.25">
      <c r="A1244" s="8">
        <f>2012</f>
        <v>2012</v>
      </c>
      <c r="B1244" s="3" t="s">
        <v>27</v>
      </c>
      <c r="C1244" s="4">
        <v>6180.2362000000003</v>
      </c>
      <c r="D1244" s="5">
        <v>7157.5820000000003</v>
      </c>
    </row>
    <row r="1245" spans="1:4" s="1" customFormat="1" ht="19.75" customHeight="1" x14ac:dyDescent="0.25">
      <c r="A1245" s="8">
        <f>2012</f>
        <v>2012</v>
      </c>
      <c r="B1245" s="3" t="s">
        <v>106</v>
      </c>
      <c r="C1245" s="6">
        <v>1519.2563</v>
      </c>
      <c r="D1245" s="7">
        <v>1677.1818000000001</v>
      </c>
    </row>
    <row r="1246" spans="1:4" s="1" customFormat="1" ht="19.75" customHeight="1" x14ac:dyDescent="0.25">
      <c r="A1246" s="8">
        <f>2012</f>
        <v>2012</v>
      </c>
      <c r="B1246" s="3" t="s">
        <v>28</v>
      </c>
      <c r="C1246" s="4">
        <v>341.87670000000003</v>
      </c>
      <c r="D1246" s="5">
        <v>364.24590000000001</v>
      </c>
    </row>
    <row r="1247" spans="1:4" s="1" customFormat="1" ht="19.75" customHeight="1" x14ac:dyDescent="0.25">
      <c r="A1247" s="8">
        <f>2012</f>
        <v>2012</v>
      </c>
      <c r="B1247" s="3" t="s">
        <v>29</v>
      </c>
      <c r="C1247" s="6">
        <v>465.08350000000002</v>
      </c>
      <c r="D1247" s="7">
        <v>532.21619999999996</v>
      </c>
    </row>
    <row r="1248" spans="1:4" s="1" customFormat="1" ht="19.75" customHeight="1" x14ac:dyDescent="0.25">
      <c r="A1248" s="8">
        <f>2012</f>
        <v>2012</v>
      </c>
      <c r="B1248" s="3" t="s">
        <v>30</v>
      </c>
      <c r="C1248" s="4">
        <v>3583.4252999999999</v>
      </c>
      <c r="D1248" s="5">
        <v>3830.4953</v>
      </c>
    </row>
    <row r="1249" spans="1:4" s="1" customFormat="1" ht="19.75" customHeight="1" x14ac:dyDescent="0.25">
      <c r="A1249" s="8">
        <f>2012</f>
        <v>2012</v>
      </c>
      <c r="B1249" s="3" t="s">
        <v>31</v>
      </c>
      <c r="C1249" s="6">
        <v>1882.3915999999999</v>
      </c>
      <c r="D1249" s="7">
        <v>2114.0495999999998</v>
      </c>
    </row>
    <row r="1250" spans="1:4" s="1" customFormat="1" ht="19.75" customHeight="1" x14ac:dyDescent="0.25">
      <c r="A1250" s="8">
        <f>2012</f>
        <v>2012</v>
      </c>
      <c r="B1250" s="3" t="s">
        <v>32</v>
      </c>
      <c r="C1250" s="4">
        <v>6307.3581000000004</v>
      </c>
      <c r="D1250" s="5">
        <v>7164.4786999999997</v>
      </c>
    </row>
    <row r="1251" spans="1:4" s="1" customFormat="1" ht="19.75" customHeight="1" x14ac:dyDescent="0.25">
      <c r="A1251" s="8">
        <f>2012</f>
        <v>2012</v>
      </c>
      <c r="B1251" s="3" t="s">
        <v>92</v>
      </c>
      <c r="C1251" s="6">
        <v>5.0747</v>
      </c>
      <c r="D1251" s="7">
        <v>23.762799999999999</v>
      </c>
    </row>
    <row r="1252" spans="1:4" s="1" customFormat="1" ht="19.75" customHeight="1" x14ac:dyDescent="0.25">
      <c r="A1252" s="8">
        <f>2012</f>
        <v>2012</v>
      </c>
      <c r="B1252" s="3" t="s">
        <v>97</v>
      </c>
      <c r="C1252" s="4">
        <v>76.026899999999998</v>
      </c>
      <c r="D1252" s="5">
        <v>80.693600000000004</v>
      </c>
    </row>
    <row r="1253" spans="1:4" s="1" customFormat="1" ht="19.75" customHeight="1" x14ac:dyDescent="0.25">
      <c r="A1253" s="8">
        <f>2012</f>
        <v>2012</v>
      </c>
      <c r="B1253" s="3" t="s">
        <v>34</v>
      </c>
      <c r="C1253" s="6">
        <v>78.301100000000005</v>
      </c>
      <c r="D1253" s="7">
        <v>582.93769999999995</v>
      </c>
    </row>
    <row r="1254" spans="1:4" s="1" customFormat="1" ht="30.4" customHeight="1" x14ac:dyDescent="0.25">
      <c r="A1254" s="8">
        <f>2012</f>
        <v>2012</v>
      </c>
      <c r="B1254" s="3" t="s">
        <v>35</v>
      </c>
      <c r="C1254" s="4">
        <v>94.386399999999995</v>
      </c>
      <c r="D1254" s="5">
        <v>164.86539999999999</v>
      </c>
    </row>
    <row r="1255" spans="1:4" s="1" customFormat="1" ht="19.75" customHeight="1" x14ac:dyDescent="0.25">
      <c r="A1255" s="8">
        <f>2012</f>
        <v>2012</v>
      </c>
      <c r="B1255" s="3" t="s">
        <v>36</v>
      </c>
      <c r="C1255" s="6">
        <v>1113.1212</v>
      </c>
      <c r="D1255" s="7">
        <v>1620.9989</v>
      </c>
    </row>
    <row r="1256" spans="1:4" s="1" customFormat="1" ht="19.75" customHeight="1" x14ac:dyDescent="0.25">
      <c r="A1256" s="8">
        <f>2012</f>
        <v>2012</v>
      </c>
      <c r="B1256" s="3" t="s">
        <v>37</v>
      </c>
      <c r="C1256" s="4">
        <v>75.959599999999995</v>
      </c>
      <c r="D1256" s="5">
        <v>86.622399999999999</v>
      </c>
    </row>
    <row r="1257" spans="1:4" s="1" customFormat="1" ht="19.75" customHeight="1" x14ac:dyDescent="0.25">
      <c r="A1257" s="8">
        <f>2012</f>
        <v>2012</v>
      </c>
      <c r="B1257" s="3" t="s">
        <v>38</v>
      </c>
      <c r="C1257" s="6">
        <v>18.3307</v>
      </c>
      <c r="D1257" s="7">
        <v>22.703800000000001</v>
      </c>
    </row>
    <row r="1258" spans="1:4" s="1" customFormat="1" ht="19.75" customHeight="1" x14ac:dyDescent="0.25">
      <c r="A1258" s="8">
        <f>2012</f>
        <v>2012</v>
      </c>
      <c r="B1258" s="3" t="s">
        <v>40</v>
      </c>
      <c r="C1258" s="4">
        <v>662.5788</v>
      </c>
      <c r="D1258" s="5">
        <v>891.45320000000004</v>
      </c>
    </row>
    <row r="1259" spans="1:4" s="1" customFormat="1" ht="19.75" customHeight="1" x14ac:dyDescent="0.25">
      <c r="A1259" s="8">
        <f>2012</f>
        <v>2012</v>
      </c>
      <c r="B1259" s="3" t="s">
        <v>41</v>
      </c>
      <c r="C1259" s="6">
        <v>1291.2853</v>
      </c>
      <c r="D1259" s="7">
        <v>1203.8304000000001</v>
      </c>
    </row>
    <row r="1260" spans="1:4" s="1" customFormat="1" ht="19.75" customHeight="1" x14ac:dyDescent="0.25">
      <c r="A1260" s="8">
        <f>2012</f>
        <v>2012</v>
      </c>
      <c r="B1260" s="3" t="s">
        <v>42</v>
      </c>
      <c r="C1260" s="4">
        <v>842.3972</v>
      </c>
      <c r="D1260" s="5">
        <v>915.39850000000001</v>
      </c>
    </row>
    <row r="1261" spans="1:4" s="1" customFormat="1" ht="19.75" customHeight="1" x14ac:dyDescent="0.25">
      <c r="A1261" s="8">
        <f>2012</f>
        <v>2012</v>
      </c>
      <c r="B1261" s="3" t="s">
        <v>43</v>
      </c>
      <c r="C1261" s="6">
        <v>7767.62</v>
      </c>
      <c r="D1261" s="7">
        <v>9160.8799999999992</v>
      </c>
    </row>
    <row r="1262" spans="1:4" s="1" customFormat="1" ht="19.75" customHeight="1" x14ac:dyDescent="0.25">
      <c r="A1262" s="8">
        <f>2012</f>
        <v>2012</v>
      </c>
      <c r="B1262" s="3" t="s">
        <v>118</v>
      </c>
      <c r="C1262" s="4">
        <v>14.657299999999999</v>
      </c>
      <c r="D1262" s="5">
        <v>21.5672</v>
      </c>
    </row>
    <row r="1263" spans="1:4" s="1" customFormat="1" ht="19.75" customHeight="1" x14ac:dyDescent="0.25">
      <c r="A1263" s="8">
        <f>2012</f>
        <v>2012</v>
      </c>
      <c r="B1263" s="3" t="s">
        <v>44</v>
      </c>
      <c r="C1263" s="6">
        <v>25.283300000000001</v>
      </c>
      <c r="D1263" s="7">
        <v>47.755499999999998</v>
      </c>
    </row>
    <row r="1264" spans="1:4" s="1" customFormat="1" ht="19.75" customHeight="1" x14ac:dyDescent="0.25">
      <c r="A1264" s="8">
        <f>2012</f>
        <v>2012</v>
      </c>
      <c r="B1264" s="3" t="s">
        <v>45</v>
      </c>
      <c r="C1264" s="4">
        <v>452.51499999999999</v>
      </c>
      <c r="D1264" s="5">
        <v>715.82579999999996</v>
      </c>
    </row>
    <row r="1265" spans="1:4" s="1" customFormat="1" ht="19.75" customHeight="1" x14ac:dyDescent="0.25">
      <c r="A1265" s="8">
        <f>2012</f>
        <v>2012</v>
      </c>
      <c r="B1265" s="3" t="s">
        <v>93</v>
      </c>
      <c r="C1265" s="6">
        <v>100.5645</v>
      </c>
      <c r="D1265" s="7">
        <v>224.39930000000001</v>
      </c>
    </row>
    <row r="1266" spans="1:4" s="1" customFormat="1" ht="19.75" customHeight="1" x14ac:dyDescent="0.25">
      <c r="A1266" s="8">
        <f>2012</f>
        <v>2012</v>
      </c>
      <c r="B1266" s="3" t="s">
        <v>46</v>
      </c>
      <c r="C1266" s="4">
        <v>36.345700000000001</v>
      </c>
      <c r="D1266" s="5">
        <v>42.197200000000002</v>
      </c>
    </row>
    <row r="1267" spans="1:4" s="1" customFormat="1" ht="19.75" customHeight="1" x14ac:dyDescent="0.25">
      <c r="A1267" s="8">
        <f>2012</f>
        <v>2012</v>
      </c>
      <c r="B1267" s="3" t="s">
        <v>47</v>
      </c>
      <c r="C1267" s="6">
        <v>1797.1242</v>
      </c>
      <c r="D1267" s="7">
        <v>2108.1466999999998</v>
      </c>
    </row>
    <row r="1268" spans="1:4" s="1" customFormat="1" ht="19.75" customHeight="1" x14ac:dyDescent="0.25">
      <c r="A1268" s="8">
        <f>2012</f>
        <v>2012</v>
      </c>
      <c r="B1268" s="3" t="s">
        <v>48</v>
      </c>
      <c r="C1268" s="4">
        <v>2398.1947</v>
      </c>
      <c r="D1268" s="5">
        <v>3151.1570999999999</v>
      </c>
    </row>
    <row r="1269" spans="1:4" s="1" customFormat="1" ht="19.75" customHeight="1" x14ac:dyDescent="0.25">
      <c r="A1269" s="8">
        <f>2012</f>
        <v>2012</v>
      </c>
      <c r="B1269" s="3" t="s">
        <v>52</v>
      </c>
      <c r="C1269" s="6">
        <v>62.875300000000003</v>
      </c>
      <c r="D1269" s="7">
        <v>85.167199999999994</v>
      </c>
    </row>
    <row r="1270" spans="1:4" s="1" customFormat="1" ht="19.75" customHeight="1" x14ac:dyDescent="0.25">
      <c r="A1270" s="8">
        <f>2012</f>
        <v>2012</v>
      </c>
      <c r="B1270" s="3" t="s">
        <v>98</v>
      </c>
      <c r="C1270" s="4">
        <v>6262.5715</v>
      </c>
      <c r="D1270" s="5">
        <v>8463.3374999999996</v>
      </c>
    </row>
    <row r="1271" spans="1:4" s="1" customFormat="1" ht="19.75" customHeight="1" x14ac:dyDescent="0.25">
      <c r="A1271" s="8">
        <f>2012</f>
        <v>2012</v>
      </c>
      <c r="B1271" s="3" t="s">
        <v>121</v>
      </c>
      <c r="C1271" s="6">
        <v>17.504300000000001</v>
      </c>
      <c r="D1271" s="7">
        <v>40.535400000000003</v>
      </c>
    </row>
    <row r="1272" spans="1:4" s="1" customFormat="1" ht="19.75" customHeight="1" x14ac:dyDescent="0.25">
      <c r="A1272" s="8">
        <f>2012</f>
        <v>2012</v>
      </c>
      <c r="B1272" s="3" t="s">
        <v>53</v>
      </c>
      <c r="C1272" s="4">
        <v>24.6965</v>
      </c>
      <c r="D1272" s="5">
        <v>27.692399999999999</v>
      </c>
    </row>
    <row r="1273" spans="1:4" s="1" customFormat="1" ht="19.75" customHeight="1" x14ac:dyDescent="0.25">
      <c r="A1273" s="8">
        <f>2012</f>
        <v>2012</v>
      </c>
      <c r="B1273" s="3" t="s">
        <v>55</v>
      </c>
      <c r="C1273" s="6">
        <v>1192.7672</v>
      </c>
      <c r="D1273" s="7">
        <v>1539.5645999999999</v>
      </c>
    </row>
    <row r="1274" spans="1:4" s="1" customFormat="1" ht="19.75" customHeight="1" x14ac:dyDescent="0.25">
      <c r="A1274" s="8">
        <f>2012</f>
        <v>2012</v>
      </c>
      <c r="B1274" s="3" t="s">
        <v>56</v>
      </c>
      <c r="C1274" s="4">
        <v>11.960599999999999</v>
      </c>
      <c r="D1274" s="5">
        <v>12.831899999999999</v>
      </c>
    </row>
    <row r="1275" spans="1:4" s="1" customFormat="1" ht="19.75" customHeight="1" x14ac:dyDescent="0.25">
      <c r="A1275" s="8">
        <f>2012</f>
        <v>2012</v>
      </c>
      <c r="B1275" s="3" t="s">
        <v>119</v>
      </c>
      <c r="C1275" s="6">
        <v>43.666400000000003</v>
      </c>
      <c r="D1275" s="7">
        <v>61.522300000000001</v>
      </c>
    </row>
    <row r="1276" spans="1:4" s="1" customFormat="1" ht="19.75" customHeight="1" x14ac:dyDescent="0.25">
      <c r="A1276" s="8">
        <f>2012</f>
        <v>2012</v>
      </c>
      <c r="B1276" s="3" t="s">
        <v>94</v>
      </c>
      <c r="C1276" s="4">
        <v>12.8607</v>
      </c>
      <c r="D1276" s="5">
        <v>14.8376</v>
      </c>
    </row>
    <row r="1277" spans="1:4" s="1" customFormat="1" ht="19.75" customHeight="1" x14ac:dyDescent="0.25">
      <c r="A1277" s="8">
        <f>2012</f>
        <v>2012</v>
      </c>
      <c r="B1277" s="3" t="s">
        <v>59</v>
      </c>
      <c r="C1277" s="6">
        <v>5.1879999999999997</v>
      </c>
      <c r="D1277" s="7">
        <v>27.415199999999999</v>
      </c>
    </row>
    <row r="1278" spans="1:4" s="1" customFormat="1" ht="19.75" customHeight="1" x14ac:dyDescent="0.25">
      <c r="A1278" s="8">
        <f>2012</f>
        <v>2012</v>
      </c>
      <c r="B1278" s="3" t="s">
        <v>60</v>
      </c>
      <c r="C1278" s="4">
        <v>287.64359999999999</v>
      </c>
      <c r="D1278" s="5">
        <v>395.1069</v>
      </c>
    </row>
    <row r="1279" spans="1:4" s="1" customFormat="1" ht="19.75" customHeight="1" x14ac:dyDescent="0.25">
      <c r="A1279" s="8">
        <f>2012</f>
        <v>2012</v>
      </c>
      <c r="B1279" s="3" t="s">
        <v>61</v>
      </c>
      <c r="C1279" s="6">
        <v>601.87149999999997</v>
      </c>
      <c r="D1279" s="7">
        <v>763.19839999999999</v>
      </c>
    </row>
    <row r="1280" spans="1:4" s="1" customFormat="1" ht="19.75" customHeight="1" x14ac:dyDescent="0.25">
      <c r="A1280" s="8">
        <f>2012</f>
        <v>2012</v>
      </c>
      <c r="B1280" s="3" t="s">
        <v>110</v>
      </c>
      <c r="C1280" s="4">
        <v>3.0669</v>
      </c>
      <c r="D1280" s="5">
        <v>3.0669</v>
      </c>
    </row>
    <row r="1281" spans="1:4" s="1" customFormat="1" ht="19.75" customHeight="1" x14ac:dyDescent="0.25">
      <c r="A1281" s="8">
        <f>2012</f>
        <v>2012</v>
      </c>
      <c r="B1281" s="3" t="s">
        <v>64</v>
      </c>
      <c r="C1281" s="6">
        <v>2.7402000000000002</v>
      </c>
      <c r="D1281" s="7">
        <v>2.7402000000000002</v>
      </c>
    </row>
    <row r="1282" spans="1:4" s="1" customFormat="1" ht="19.75" customHeight="1" x14ac:dyDescent="0.25">
      <c r="A1282" s="8">
        <f>2012</f>
        <v>2012</v>
      </c>
      <c r="B1282" s="3" t="s">
        <v>66</v>
      </c>
      <c r="C1282" s="4">
        <v>10.3462</v>
      </c>
      <c r="D1282" s="5">
        <v>10.3462</v>
      </c>
    </row>
    <row r="1283" spans="1:4" s="1" customFormat="1" ht="19.75" customHeight="1" x14ac:dyDescent="0.25">
      <c r="A1283" s="8">
        <f>2012</f>
        <v>2012</v>
      </c>
      <c r="B1283" s="3" t="s">
        <v>67</v>
      </c>
      <c r="C1283" s="6">
        <v>124.0663</v>
      </c>
      <c r="D1283" s="7">
        <v>136.58879999999999</v>
      </c>
    </row>
    <row r="1284" spans="1:4" s="1" customFormat="1" ht="19.75" customHeight="1" x14ac:dyDescent="0.25">
      <c r="A1284" s="8">
        <f>2012</f>
        <v>2012</v>
      </c>
      <c r="B1284" s="3" t="s">
        <v>68</v>
      </c>
      <c r="C1284" s="4">
        <v>145.11869999999999</v>
      </c>
      <c r="D1284" s="5">
        <v>162.399</v>
      </c>
    </row>
    <row r="1285" spans="1:4" s="1" customFormat="1" ht="19.75" customHeight="1" x14ac:dyDescent="0.25">
      <c r="A1285" s="8">
        <f>2012</f>
        <v>2012</v>
      </c>
      <c r="B1285" s="3" t="s">
        <v>69</v>
      </c>
      <c r="C1285" s="6">
        <v>221.55279999999999</v>
      </c>
      <c r="D1285" s="7">
        <v>230.17599999999999</v>
      </c>
    </row>
    <row r="1286" spans="1:4" s="1" customFormat="1" ht="19.75" customHeight="1" x14ac:dyDescent="0.25">
      <c r="A1286" s="8">
        <f>2012</f>
        <v>2012</v>
      </c>
      <c r="B1286" s="3" t="s">
        <v>95</v>
      </c>
      <c r="C1286" s="4">
        <v>2.3298000000000001</v>
      </c>
      <c r="D1286" s="5">
        <v>8.2515999999999998</v>
      </c>
    </row>
    <row r="1287" spans="1:4" s="1" customFormat="1" ht="19.75" customHeight="1" x14ac:dyDescent="0.25">
      <c r="A1287" s="8">
        <f>2012</f>
        <v>2012</v>
      </c>
      <c r="B1287" s="3" t="s">
        <v>71</v>
      </c>
      <c r="C1287" s="6">
        <v>7943.2327999999998</v>
      </c>
      <c r="D1287" s="7">
        <v>10931.456399999999</v>
      </c>
    </row>
    <row r="1288" spans="1:4" s="1" customFormat="1" ht="19.75" customHeight="1" x14ac:dyDescent="0.25">
      <c r="A1288" s="8">
        <f>2012</f>
        <v>2012</v>
      </c>
      <c r="B1288" s="3" t="s">
        <v>99</v>
      </c>
      <c r="C1288" s="4">
        <v>1790.675</v>
      </c>
      <c r="D1288" s="5">
        <v>2608.6786999999999</v>
      </c>
    </row>
    <row r="1289" spans="1:4" s="1" customFormat="1" ht="19.75" customHeight="1" x14ac:dyDescent="0.25">
      <c r="A1289" s="8">
        <f>2012</f>
        <v>2012</v>
      </c>
      <c r="B1289" s="3" t="s">
        <v>74</v>
      </c>
      <c r="C1289" s="6">
        <v>365.61970000000002</v>
      </c>
      <c r="D1289" s="7">
        <v>287.67529999999999</v>
      </c>
    </row>
    <row r="1290" spans="1:4" s="1" customFormat="1" ht="19.75" customHeight="1" x14ac:dyDescent="0.25">
      <c r="A1290" s="8">
        <f>2012</f>
        <v>2012</v>
      </c>
      <c r="B1290" s="3" t="s">
        <v>75</v>
      </c>
      <c r="C1290" s="4">
        <v>10.3163</v>
      </c>
      <c r="D1290" s="5">
        <v>10.5999</v>
      </c>
    </row>
    <row r="1291" spans="1:4" s="1" customFormat="1" ht="19.75" customHeight="1" x14ac:dyDescent="0.25">
      <c r="A1291" s="8">
        <f>2012</f>
        <v>2012</v>
      </c>
      <c r="B1291" s="3" t="s">
        <v>76</v>
      </c>
      <c r="C1291" s="6">
        <v>4.1721000000000004</v>
      </c>
      <c r="D1291" s="7">
        <v>4.1721000000000004</v>
      </c>
    </row>
    <row r="1292" spans="1:4" s="1" customFormat="1" ht="19.75" customHeight="1" x14ac:dyDescent="0.25">
      <c r="A1292" s="8">
        <f>2011</f>
        <v>2011</v>
      </c>
      <c r="B1292" s="3" t="s">
        <v>112</v>
      </c>
      <c r="C1292" s="4">
        <v>4796.4827999999998</v>
      </c>
      <c r="D1292" s="5">
        <v>5436.1760000000004</v>
      </c>
    </row>
    <row r="1293" spans="1:4" s="1" customFormat="1" ht="19.75" customHeight="1" x14ac:dyDescent="0.25">
      <c r="A1293" s="8">
        <f>2011</f>
        <v>2011</v>
      </c>
      <c r="B1293" s="3" t="s">
        <v>113</v>
      </c>
      <c r="C1293" s="6">
        <v>7851.2844999999998</v>
      </c>
      <c r="D1293" s="7">
        <v>8835.0385999999999</v>
      </c>
    </row>
    <row r="1294" spans="1:4" s="1" customFormat="1" ht="19.75" customHeight="1" x14ac:dyDescent="0.25">
      <c r="A1294" s="8">
        <f>2011</f>
        <v>2011</v>
      </c>
      <c r="B1294" s="3" t="s">
        <v>9</v>
      </c>
      <c r="C1294" s="4">
        <v>81394.363800000006</v>
      </c>
      <c r="D1294" s="5">
        <v>97218.957999999999</v>
      </c>
    </row>
    <row r="1295" spans="1:4" s="1" customFormat="1" ht="19.75" customHeight="1" x14ac:dyDescent="0.25">
      <c r="A1295" s="8">
        <f>2011</f>
        <v>2011</v>
      </c>
      <c r="B1295" s="3" t="s">
        <v>114</v>
      </c>
      <c r="C1295" s="6">
        <v>4079.0761000000002</v>
      </c>
      <c r="D1295" s="7">
        <v>4534.2543999999998</v>
      </c>
    </row>
    <row r="1296" spans="1:4" s="1" customFormat="1" ht="19.75" customHeight="1" x14ac:dyDescent="0.25">
      <c r="A1296" s="8">
        <f>2011</f>
        <v>2011</v>
      </c>
      <c r="B1296" s="3" t="s">
        <v>115</v>
      </c>
      <c r="C1296" s="4">
        <v>6478.1085999999996</v>
      </c>
      <c r="D1296" s="5">
        <v>7233.6516000000001</v>
      </c>
    </row>
    <row r="1297" spans="1:4" s="1" customFormat="1" ht="19.75" customHeight="1" x14ac:dyDescent="0.25">
      <c r="A1297" s="8">
        <f>2011</f>
        <v>2011</v>
      </c>
      <c r="B1297" s="3" t="s">
        <v>116</v>
      </c>
      <c r="C1297" s="6">
        <v>5228.7610000000004</v>
      </c>
      <c r="D1297" s="7">
        <v>5810.0052999999998</v>
      </c>
    </row>
    <row r="1298" spans="1:4" s="1" customFormat="1" ht="19.75" customHeight="1" x14ac:dyDescent="0.25">
      <c r="A1298" s="8">
        <f>2011</f>
        <v>2011</v>
      </c>
      <c r="B1298" s="3" t="s">
        <v>100</v>
      </c>
      <c r="C1298" s="4">
        <v>11014.691699999999</v>
      </c>
      <c r="D1298" s="5">
        <v>12385.1044</v>
      </c>
    </row>
    <row r="1299" spans="1:4" s="1" customFormat="1" ht="19.75" customHeight="1" x14ac:dyDescent="0.25">
      <c r="A1299" s="8">
        <f>2011</f>
        <v>2011</v>
      </c>
      <c r="B1299" s="3" t="s">
        <v>101</v>
      </c>
      <c r="C1299" s="6">
        <v>8291.2769000000008</v>
      </c>
      <c r="D1299" s="7">
        <v>9188.2347000000009</v>
      </c>
    </row>
    <row r="1300" spans="1:4" s="1" customFormat="1" ht="19.75" customHeight="1" x14ac:dyDescent="0.25">
      <c r="A1300" s="8">
        <f>2011</f>
        <v>2011</v>
      </c>
      <c r="B1300" s="3" t="s">
        <v>0</v>
      </c>
      <c r="C1300" s="4">
        <v>21885.9156</v>
      </c>
      <c r="D1300" s="5">
        <v>24695.101600000002</v>
      </c>
    </row>
    <row r="1301" spans="1:4" s="1" customFormat="1" ht="19.75" customHeight="1" x14ac:dyDescent="0.25">
      <c r="A1301" s="8">
        <f>2011</f>
        <v>2011</v>
      </c>
      <c r="B1301" s="3" t="s">
        <v>1</v>
      </c>
      <c r="C1301" s="6">
        <v>21751.7238</v>
      </c>
      <c r="D1301" s="7">
        <v>24393.4987</v>
      </c>
    </row>
    <row r="1302" spans="1:4" s="1" customFormat="1" ht="19.75" customHeight="1" x14ac:dyDescent="0.25">
      <c r="A1302" s="8">
        <f>2011</f>
        <v>2011</v>
      </c>
      <c r="B1302" s="3" t="s">
        <v>2</v>
      </c>
      <c r="C1302" s="4">
        <v>5563.0875999999998</v>
      </c>
      <c r="D1302" s="5">
        <v>6093.9453999999996</v>
      </c>
    </row>
    <row r="1303" spans="1:4" s="1" customFormat="1" ht="19.75" customHeight="1" x14ac:dyDescent="0.25">
      <c r="A1303" s="8">
        <f>2011</f>
        <v>2011</v>
      </c>
      <c r="B1303" s="3" t="s">
        <v>3</v>
      </c>
      <c r="C1303" s="6">
        <v>22940.068899999998</v>
      </c>
      <c r="D1303" s="7">
        <v>25751.530999999999</v>
      </c>
    </row>
    <row r="1304" spans="1:4" s="1" customFormat="1" ht="19.75" customHeight="1" x14ac:dyDescent="0.25">
      <c r="A1304" s="8">
        <f>2011</f>
        <v>2011</v>
      </c>
      <c r="B1304" s="3" t="s">
        <v>4</v>
      </c>
      <c r="C1304" s="4">
        <v>15220.5661</v>
      </c>
      <c r="D1304" s="5">
        <v>16485.607499999998</v>
      </c>
    </row>
    <row r="1305" spans="1:4" s="1" customFormat="1" ht="19.75" customHeight="1" x14ac:dyDescent="0.25">
      <c r="A1305" s="8">
        <f>2011</f>
        <v>2011</v>
      </c>
      <c r="B1305" s="3" t="s">
        <v>102</v>
      </c>
      <c r="C1305" s="6">
        <v>9135.2482999999993</v>
      </c>
      <c r="D1305" s="7">
        <v>10391.1253</v>
      </c>
    </row>
    <row r="1306" spans="1:4" s="1" customFormat="1" ht="19.75" customHeight="1" x14ac:dyDescent="0.25">
      <c r="A1306" s="8">
        <f>2011</f>
        <v>2011</v>
      </c>
      <c r="B1306" s="3" t="s">
        <v>108</v>
      </c>
      <c r="C1306" s="4">
        <v>5033.5257000000001</v>
      </c>
      <c r="D1306" s="5">
        <v>5567.3666000000003</v>
      </c>
    </row>
    <row r="1307" spans="1:4" s="1" customFormat="1" ht="19.75" customHeight="1" x14ac:dyDescent="0.25">
      <c r="A1307" s="8">
        <f>2011</f>
        <v>2011</v>
      </c>
      <c r="B1307" s="3" t="s">
        <v>21</v>
      </c>
      <c r="C1307" s="6">
        <v>18541.239600000001</v>
      </c>
      <c r="D1307" s="7">
        <v>20684.469700000001</v>
      </c>
    </row>
    <row r="1308" spans="1:4" s="1" customFormat="1" ht="19.75" customHeight="1" x14ac:dyDescent="0.25">
      <c r="A1308" s="8">
        <f>2011</f>
        <v>2011</v>
      </c>
      <c r="B1308" s="3" t="s">
        <v>5</v>
      </c>
      <c r="C1308" s="4">
        <v>9361.0280000000002</v>
      </c>
      <c r="D1308" s="5">
        <v>10542.916499999999</v>
      </c>
    </row>
    <row r="1309" spans="1:4" s="1" customFormat="1" ht="19.75" customHeight="1" x14ac:dyDescent="0.25">
      <c r="A1309" s="8">
        <f>2011</f>
        <v>2011</v>
      </c>
      <c r="B1309" s="3" t="s">
        <v>6</v>
      </c>
      <c r="C1309" s="6">
        <v>12101.465</v>
      </c>
      <c r="D1309" s="7">
        <v>13326.567499999999</v>
      </c>
    </row>
    <row r="1310" spans="1:4" s="1" customFormat="1" ht="19.75" customHeight="1" x14ac:dyDescent="0.25">
      <c r="A1310" s="8">
        <f>2011</f>
        <v>2011</v>
      </c>
      <c r="B1310" s="3" t="s">
        <v>103</v>
      </c>
      <c r="C1310" s="4">
        <v>12087.8143</v>
      </c>
      <c r="D1310" s="5">
        <v>13047.885</v>
      </c>
    </row>
    <row r="1311" spans="1:4" s="1" customFormat="1" ht="19.75" customHeight="1" x14ac:dyDescent="0.25">
      <c r="A1311" s="8">
        <f>2011</f>
        <v>2011</v>
      </c>
      <c r="B1311" s="3" t="s">
        <v>7</v>
      </c>
      <c r="C1311" s="6">
        <v>4932.5079999999998</v>
      </c>
      <c r="D1311" s="7">
        <v>5369.5934999999999</v>
      </c>
    </row>
    <row r="1312" spans="1:4" s="1" customFormat="1" ht="19.75" customHeight="1" x14ac:dyDescent="0.25">
      <c r="A1312" s="8">
        <f>2011</f>
        <v>2011</v>
      </c>
      <c r="B1312" s="3" t="s">
        <v>8</v>
      </c>
      <c r="C1312" s="4">
        <v>26986.48</v>
      </c>
      <c r="D1312" s="5">
        <v>30599.060300000001</v>
      </c>
    </row>
    <row r="1313" spans="1:4" s="1" customFormat="1" ht="19.75" customHeight="1" x14ac:dyDescent="0.25">
      <c r="A1313" s="8">
        <f>2011</f>
        <v>2011</v>
      </c>
      <c r="B1313" s="3" t="s">
        <v>104</v>
      </c>
      <c r="C1313" s="6">
        <v>11450.858899999999</v>
      </c>
      <c r="D1313" s="7">
        <v>12365.975899999999</v>
      </c>
    </row>
    <row r="1314" spans="1:4" s="1" customFormat="1" ht="19.75" customHeight="1" x14ac:dyDescent="0.25">
      <c r="A1314" s="8">
        <f>2011</f>
        <v>2011</v>
      </c>
      <c r="B1314" s="3" t="s">
        <v>10</v>
      </c>
      <c r="C1314" s="4">
        <v>11370.8024</v>
      </c>
      <c r="D1314" s="5">
        <v>12296.215899999999</v>
      </c>
    </row>
    <row r="1315" spans="1:4" s="1" customFormat="1" ht="19.75" customHeight="1" x14ac:dyDescent="0.25">
      <c r="A1315" s="8">
        <f>2011</f>
        <v>2011</v>
      </c>
      <c r="B1315" s="3" t="s">
        <v>11</v>
      </c>
      <c r="C1315" s="6">
        <v>16452.615000000002</v>
      </c>
      <c r="D1315" s="7">
        <v>18491.398700000002</v>
      </c>
    </row>
    <row r="1316" spans="1:4" s="1" customFormat="1" ht="19.75" customHeight="1" x14ac:dyDescent="0.25">
      <c r="A1316" s="8">
        <f>2011</f>
        <v>2011</v>
      </c>
      <c r="B1316" s="3" t="s">
        <v>105</v>
      </c>
      <c r="C1316" s="4">
        <v>6341.4570000000003</v>
      </c>
      <c r="D1316" s="5">
        <v>6978.5102999999999</v>
      </c>
    </row>
    <row r="1317" spans="1:4" s="1" customFormat="1" ht="19.75" customHeight="1" x14ac:dyDescent="0.25">
      <c r="A1317" s="8">
        <f>2011</f>
        <v>2011</v>
      </c>
      <c r="B1317" s="3" t="s">
        <v>109</v>
      </c>
      <c r="C1317" s="6">
        <v>5844.0603000000001</v>
      </c>
      <c r="D1317" s="7">
        <v>6377.2471999999998</v>
      </c>
    </row>
    <row r="1318" spans="1:4" s="1" customFormat="1" ht="19.75" customHeight="1" x14ac:dyDescent="0.25">
      <c r="A1318" s="8">
        <f>2011</f>
        <v>2011</v>
      </c>
      <c r="B1318" s="3" t="s">
        <v>12</v>
      </c>
      <c r="C1318" s="4">
        <v>15154.8058</v>
      </c>
      <c r="D1318" s="5">
        <v>19786.939600000002</v>
      </c>
    </row>
    <row r="1319" spans="1:4" s="1" customFormat="1" ht="19.75" customHeight="1" x14ac:dyDescent="0.25">
      <c r="A1319" s="8">
        <f>2011</f>
        <v>2011</v>
      </c>
      <c r="B1319" s="3" t="s">
        <v>14</v>
      </c>
      <c r="C1319" s="6">
        <v>1218.4076</v>
      </c>
      <c r="D1319" s="7">
        <v>1375.8112000000001</v>
      </c>
    </row>
    <row r="1320" spans="1:4" s="1" customFormat="1" ht="19.75" customHeight="1" x14ac:dyDescent="0.25">
      <c r="A1320" s="8">
        <f>2011</f>
        <v>2011</v>
      </c>
      <c r="B1320" s="3" t="s">
        <v>15</v>
      </c>
      <c r="C1320" s="4">
        <v>762.1327</v>
      </c>
      <c r="D1320" s="5">
        <v>836.6395</v>
      </c>
    </row>
    <row r="1321" spans="1:4" s="1" customFormat="1" ht="19.75" customHeight="1" x14ac:dyDescent="0.25">
      <c r="A1321" s="8">
        <f>2011</f>
        <v>2011</v>
      </c>
      <c r="B1321" s="3" t="s">
        <v>16</v>
      </c>
      <c r="C1321" s="6">
        <v>536.26239999999996</v>
      </c>
      <c r="D1321" s="7">
        <v>648.36099999999999</v>
      </c>
    </row>
    <row r="1322" spans="1:4" s="1" customFormat="1" ht="19.75" customHeight="1" x14ac:dyDescent="0.25">
      <c r="A1322" s="8">
        <f>2011</f>
        <v>2011</v>
      </c>
      <c r="B1322" s="3" t="s">
        <v>17</v>
      </c>
      <c r="C1322" s="4">
        <v>906.41780000000006</v>
      </c>
      <c r="D1322" s="5">
        <v>1053.1874</v>
      </c>
    </row>
    <row r="1323" spans="1:4" s="1" customFormat="1" ht="19.75" customHeight="1" x14ac:dyDescent="0.25">
      <c r="A1323" s="8">
        <f>2011</f>
        <v>2011</v>
      </c>
      <c r="B1323" s="3" t="s">
        <v>18</v>
      </c>
      <c r="C1323" s="6">
        <v>4052.0282999999999</v>
      </c>
      <c r="D1323" s="7">
        <v>4568.8424000000005</v>
      </c>
    </row>
    <row r="1324" spans="1:4" s="1" customFormat="1" ht="19.75" customHeight="1" x14ac:dyDescent="0.25">
      <c r="A1324" s="8">
        <f>2011</f>
        <v>2011</v>
      </c>
      <c r="B1324" s="3" t="s">
        <v>19</v>
      </c>
      <c r="C1324" s="4">
        <v>19928.212200000002</v>
      </c>
      <c r="D1324" s="5">
        <v>24263.3649</v>
      </c>
    </row>
    <row r="1325" spans="1:4" s="1" customFormat="1" ht="19.75" customHeight="1" x14ac:dyDescent="0.25">
      <c r="A1325" s="8">
        <f>2011</f>
        <v>2011</v>
      </c>
      <c r="B1325" s="3" t="s">
        <v>20</v>
      </c>
      <c r="C1325" s="6">
        <v>25974.052800000001</v>
      </c>
      <c r="D1325" s="7">
        <v>32621.945299999999</v>
      </c>
    </row>
    <row r="1326" spans="1:4" s="1" customFormat="1" ht="19.75" customHeight="1" x14ac:dyDescent="0.25">
      <c r="A1326" s="8">
        <f>2011</f>
        <v>2011</v>
      </c>
      <c r="B1326" s="3" t="s">
        <v>23</v>
      </c>
      <c r="C1326" s="4">
        <v>3589.3573999999999</v>
      </c>
      <c r="D1326" s="5">
        <v>4303.0189</v>
      </c>
    </row>
    <row r="1327" spans="1:4" s="1" customFormat="1" ht="19.75" customHeight="1" x14ac:dyDescent="0.25">
      <c r="A1327" s="8">
        <f>2011</f>
        <v>2011</v>
      </c>
      <c r="B1327" s="3" t="s">
        <v>120</v>
      </c>
      <c r="C1327" s="6">
        <v>2694.0641000000001</v>
      </c>
      <c r="D1327" s="7">
        <v>3349.0210999999999</v>
      </c>
    </row>
    <row r="1328" spans="1:4" s="1" customFormat="1" ht="19.75" customHeight="1" x14ac:dyDescent="0.25">
      <c r="A1328" s="8">
        <f>2011</f>
        <v>2011</v>
      </c>
      <c r="B1328" s="3" t="s">
        <v>24</v>
      </c>
      <c r="C1328" s="4">
        <v>3713.1322</v>
      </c>
      <c r="D1328" s="5">
        <v>4077.8883999999998</v>
      </c>
    </row>
    <row r="1329" spans="1:4" s="1" customFormat="1" ht="19.75" customHeight="1" x14ac:dyDescent="0.25">
      <c r="A1329" s="8">
        <f>2011</f>
        <v>2011</v>
      </c>
      <c r="B1329" s="3" t="s">
        <v>25</v>
      </c>
      <c r="C1329" s="6">
        <v>2370.8471</v>
      </c>
      <c r="D1329" s="7">
        <v>2662.6026000000002</v>
      </c>
    </row>
    <row r="1330" spans="1:4" s="1" customFormat="1" ht="19.75" customHeight="1" x14ac:dyDescent="0.25">
      <c r="A1330" s="8">
        <f>2011</f>
        <v>2011</v>
      </c>
      <c r="B1330" s="3" t="s">
        <v>26</v>
      </c>
      <c r="C1330" s="4">
        <v>2217.6952999999999</v>
      </c>
      <c r="D1330" s="5">
        <v>2482.0286000000001</v>
      </c>
    </row>
    <row r="1331" spans="1:4" s="1" customFormat="1" ht="19.75" customHeight="1" x14ac:dyDescent="0.25">
      <c r="A1331" s="8">
        <f>2011</f>
        <v>2011</v>
      </c>
      <c r="B1331" s="3" t="s">
        <v>27</v>
      </c>
      <c r="C1331" s="6">
        <v>4189.7520000000004</v>
      </c>
      <c r="D1331" s="7">
        <v>4970.2869000000001</v>
      </c>
    </row>
    <row r="1332" spans="1:4" s="1" customFormat="1" ht="19.75" customHeight="1" x14ac:dyDescent="0.25">
      <c r="A1332" s="8">
        <f>2011</f>
        <v>2011</v>
      </c>
      <c r="B1332" s="3" t="s">
        <v>106</v>
      </c>
      <c r="C1332" s="4">
        <v>1064.8354999999999</v>
      </c>
      <c r="D1332" s="5">
        <v>1201.8514</v>
      </c>
    </row>
    <row r="1333" spans="1:4" s="1" customFormat="1" ht="19.75" customHeight="1" x14ac:dyDescent="0.25">
      <c r="A1333" s="8">
        <f>2011</f>
        <v>2011</v>
      </c>
      <c r="B1333" s="3" t="s">
        <v>28</v>
      </c>
      <c r="C1333" s="6">
        <v>256.75709999999998</v>
      </c>
      <c r="D1333" s="7">
        <v>268.09800000000001</v>
      </c>
    </row>
    <row r="1334" spans="1:4" s="1" customFormat="1" ht="19.75" customHeight="1" x14ac:dyDescent="0.25">
      <c r="A1334" s="8">
        <f>2011</f>
        <v>2011</v>
      </c>
      <c r="B1334" s="3" t="s">
        <v>29</v>
      </c>
      <c r="C1334" s="4">
        <v>189.18819999999999</v>
      </c>
      <c r="D1334" s="5">
        <v>207.76759999999999</v>
      </c>
    </row>
    <row r="1335" spans="1:4" s="1" customFormat="1" ht="19.75" customHeight="1" x14ac:dyDescent="0.25">
      <c r="A1335" s="8">
        <f>2011</f>
        <v>2011</v>
      </c>
      <c r="B1335" s="3" t="s">
        <v>122</v>
      </c>
      <c r="C1335" s="6">
        <v>36.337200000000003</v>
      </c>
      <c r="D1335" s="7">
        <v>41.7042</v>
      </c>
    </row>
    <row r="1336" spans="1:4" s="1" customFormat="1" ht="19.75" customHeight="1" x14ac:dyDescent="0.25">
      <c r="A1336" s="8">
        <f>2011</f>
        <v>2011</v>
      </c>
      <c r="B1336" s="3" t="s">
        <v>30</v>
      </c>
      <c r="C1336" s="4">
        <v>2446.0165999999999</v>
      </c>
      <c r="D1336" s="5">
        <v>2642.7105999999999</v>
      </c>
    </row>
    <row r="1337" spans="1:4" s="1" customFormat="1" ht="19.75" customHeight="1" x14ac:dyDescent="0.25">
      <c r="A1337" s="8">
        <f>2011</f>
        <v>2011</v>
      </c>
      <c r="B1337" s="3" t="s">
        <v>31</v>
      </c>
      <c r="C1337" s="6">
        <v>1371.0436999999999</v>
      </c>
      <c r="D1337" s="7">
        <v>1559.3843999999999</v>
      </c>
    </row>
    <row r="1338" spans="1:4" s="1" customFormat="1" ht="19.75" customHeight="1" x14ac:dyDescent="0.25">
      <c r="A1338" s="8">
        <f>2011</f>
        <v>2011</v>
      </c>
      <c r="B1338" s="3" t="s">
        <v>32</v>
      </c>
      <c r="C1338" s="4">
        <v>4041.7473</v>
      </c>
      <c r="D1338" s="5">
        <v>4665.0182000000004</v>
      </c>
    </row>
    <row r="1339" spans="1:4" s="1" customFormat="1" ht="19.75" customHeight="1" x14ac:dyDescent="0.25">
      <c r="A1339" s="8">
        <f>2011</f>
        <v>2011</v>
      </c>
      <c r="B1339" s="3" t="s">
        <v>92</v>
      </c>
      <c r="C1339" s="6">
        <v>3.9914999999999998</v>
      </c>
      <c r="D1339" s="7">
        <v>19.956399999999999</v>
      </c>
    </row>
    <row r="1340" spans="1:4" s="1" customFormat="1" ht="19.75" customHeight="1" x14ac:dyDescent="0.25">
      <c r="A1340" s="8">
        <f>2011</f>
        <v>2011</v>
      </c>
      <c r="B1340" s="3" t="s">
        <v>97</v>
      </c>
      <c r="C1340" s="4">
        <v>42.809100000000001</v>
      </c>
      <c r="D1340" s="5">
        <v>46.32</v>
      </c>
    </row>
    <row r="1341" spans="1:4" s="1" customFormat="1" ht="19.75" customHeight="1" x14ac:dyDescent="0.25">
      <c r="A1341" s="8">
        <f>2011</f>
        <v>2011</v>
      </c>
      <c r="B1341" s="3" t="s">
        <v>34</v>
      </c>
      <c r="C1341" s="6">
        <v>62.193300000000001</v>
      </c>
      <c r="D1341" s="7">
        <v>459.98379999999997</v>
      </c>
    </row>
    <row r="1342" spans="1:4" s="1" customFormat="1" ht="19.75" customHeight="1" x14ac:dyDescent="0.25">
      <c r="A1342" s="8">
        <f>2011</f>
        <v>2011</v>
      </c>
      <c r="B1342" s="3" t="s">
        <v>36</v>
      </c>
      <c r="C1342" s="4">
        <v>725.28729999999996</v>
      </c>
      <c r="D1342" s="5">
        <v>1306.2731000000001</v>
      </c>
    </row>
    <row r="1343" spans="1:4" s="1" customFormat="1" ht="19.75" customHeight="1" x14ac:dyDescent="0.25">
      <c r="A1343" s="8">
        <f>2011</f>
        <v>2011</v>
      </c>
      <c r="B1343" s="3" t="s">
        <v>37</v>
      </c>
      <c r="C1343" s="6">
        <v>51.972099999999998</v>
      </c>
      <c r="D1343" s="7">
        <v>61.573799999999999</v>
      </c>
    </row>
    <row r="1344" spans="1:4" s="1" customFormat="1" ht="19.75" customHeight="1" x14ac:dyDescent="0.25">
      <c r="A1344" s="8">
        <f>2011</f>
        <v>2011</v>
      </c>
      <c r="B1344" s="3" t="s">
        <v>38</v>
      </c>
      <c r="C1344" s="4">
        <v>13.3368</v>
      </c>
      <c r="D1344" s="5">
        <v>18.081499999999998</v>
      </c>
    </row>
    <row r="1345" spans="1:4" s="1" customFormat="1" ht="19.75" customHeight="1" x14ac:dyDescent="0.25">
      <c r="A1345" s="8">
        <f>2011</f>
        <v>2011</v>
      </c>
      <c r="B1345" s="3" t="s">
        <v>40</v>
      </c>
      <c r="C1345" s="6">
        <v>461.87580000000003</v>
      </c>
      <c r="D1345" s="7">
        <v>615.83450000000005</v>
      </c>
    </row>
    <row r="1346" spans="1:4" s="1" customFormat="1" ht="19.75" customHeight="1" x14ac:dyDescent="0.25">
      <c r="A1346" s="8">
        <f>2011</f>
        <v>2011</v>
      </c>
      <c r="B1346" s="3" t="s">
        <v>41</v>
      </c>
      <c r="C1346" s="4">
        <v>1680.3690999999999</v>
      </c>
      <c r="D1346" s="5">
        <v>2136.6869999999999</v>
      </c>
    </row>
    <row r="1347" spans="1:4" s="1" customFormat="1" ht="19.75" customHeight="1" x14ac:dyDescent="0.25">
      <c r="A1347" s="8">
        <f>2011</f>
        <v>2011</v>
      </c>
      <c r="B1347" s="3" t="s">
        <v>42</v>
      </c>
      <c r="C1347" s="6">
        <v>646.10640000000001</v>
      </c>
      <c r="D1347" s="7">
        <v>904.24869999999999</v>
      </c>
    </row>
    <row r="1348" spans="1:4" s="1" customFormat="1" ht="19.75" customHeight="1" x14ac:dyDescent="0.25">
      <c r="A1348" s="8">
        <f>2011</f>
        <v>2011</v>
      </c>
      <c r="B1348" s="3" t="s">
        <v>43</v>
      </c>
      <c r="C1348" s="4">
        <v>6269.31</v>
      </c>
      <c r="D1348" s="5">
        <v>8216.52</v>
      </c>
    </row>
    <row r="1349" spans="1:4" s="1" customFormat="1" ht="19.75" customHeight="1" x14ac:dyDescent="0.25">
      <c r="A1349" s="8">
        <f>2011</f>
        <v>2011</v>
      </c>
      <c r="B1349" s="3" t="s">
        <v>118</v>
      </c>
      <c r="C1349" s="6">
        <v>8.3171999999999997</v>
      </c>
      <c r="D1349" s="7">
        <v>10.3004</v>
      </c>
    </row>
    <row r="1350" spans="1:4" s="1" customFormat="1" ht="19.75" customHeight="1" x14ac:dyDescent="0.25">
      <c r="A1350" s="8">
        <f>2011</f>
        <v>2011</v>
      </c>
      <c r="B1350" s="3" t="s">
        <v>45</v>
      </c>
      <c r="C1350" s="4">
        <v>368.9248</v>
      </c>
      <c r="D1350" s="5">
        <v>549.22130000000004</v>
      </c>
    </row>
    <row r="1351" spans="1:4" s="1" customFormat="1" ht="19.75" customHeight="1" x14ac:dyDescent="0.25">
      <c r="A1351" s="8">
        <f>2011</f>
        <v>2011</v>
      </c>
      <c r="B1351" s="3" t="s">
        <v>46</v>
      </c>
      <c r="C1351" s="6">
        <v>20.843</v>
      </c>
      <c r="D1351" s="7">
        <v>26.112100000000002</v>
      </c>
    </row>
    <row r="1352" spans="1:4" s="1" customFormat="1" ht="19.75" customHeight="1" x14ac:dyDescent="0.25">
      <c r="A1352" s="8">
        <f>2011</f>
        <v>2011</v>
      </c>
      <c r="B1352" s="3" t="s">
        <v>47</v>
      </c>
      <c r="C1352" s="4">
        <v>1065.8607999999999</v>
      </c>
      <c r="D1352" s="5">
        <v>1161.9965</v>
      </c>
    </row>
    <row r="1353" spans="1:4" s="1" customFormat="1" ht="19.75" customHeight="1" x14ac:dyDescent="0.25">
      <c r="A1353" s="8">
        <f>2011</f>
        <v>2011</v>
      </c>
      <c r="B1353" s="3" t="s">
        <v>48</v>
      </c>
      <c r="C1353" s="6">
        <v>1880.1608000000001</v>
      </c>
      <c r="D1353" s="7">
        <v>2860.6210000000001</v>
      </c>
    </row>
    <row r="1354" spans="1:4" s="1" customFormat="1" ht="19.75" customHeight="1" x14ac:dyDescent="0.25">
      <c r="A1354" s="8">
        <f>2011</f>
        <v>2011</v>
      </c>
      <c r="B1354" s="3" t="s">
        <v>52</v>
      </c>
      <c r="C1354" s="4">
        <v>35.266399999999997</v>
      </c>
      <c r="D1354" s="5">
        <v>58.695599999999999</v>
      </c>
    </row>
    <row r="1355" spans="1:4" s="1" customFormat="1" ht="19.75" customHeight="1" x14ac:dyDescent="0.25">
      <c r="A1355" s="8">
        <f>2011</f>
        <v>2011</v>
      </c>
      <c r="B1355" s="3" t="s">
        <v>98</v>
      </c>
      <c r="C1355" s="6">
        <v>5194.9585999999999</v>
      </c>
      <c r="D1355" s="7">
        <v>6983.6073999999999</v>
      </c>
    </row>
    <row r="1356" spans="1:4" s="1" customFormat="1" ht="19.75" customHeight="1" x14ac:dyDescent="0.25">
      <c r="A1356" s="8">
        <f>2011</f>
        <v>2011</v>
      </c>
      <c r="B1356" s="3" t="s">
        <v>121</v>
      </c>
      <c r="C1356" s="4">
        <v>14.651400000000001</v>
      </c>
      <c r="D1356" s="5">
        <v>27.277000000000001</v>
      </c>
    </row>
    <row r="1357" spans="1:4" s="1" customFormat="1" ht="19.75" customHeight="1" x14ac:dyDescent="0.25">
      <c r="A1357" s="8">
        <f>2011</f>
        <v>2011</v>
      </c>
      <c r="B1357" s="3" t="s">
        <v>55</v>
      </c>
      <c r="C1357" s="6">
        <v>739.57579999999996</v>
      </c>
      <c r="D1357" s="7">
        <v>1281.2569000000001</v>
      </c>
    </row>
    <row r="1358" spans="1:4" s="1" customFormat="1" ht="19.75" customHeight="1" x14ac:dyDescent="0.25">
      <c r="A1358" s="8">
        <f>2011</f>
        <v>2011</v>
      </c>
      <c r="B1358" s="3" t="s">
        <v>56</v>
      </c>
      <c r="C1358" s="4">
        <v>6.8819999999999997</v>
      </c>
      <c r="D1358" s="5">
        <v>7.34</v>
      </c>
    </row>
    <row r="1359" spans="1:4" s="1" customFormat="1" ht="19.75" customHeight="1" x14ac:dyDescent="0.25">
      <c r="A1359" s="8">
        <f>2011</f>
        <v>2011</v>
      </c>
      <c r="B1359" s="3" t="s">
        <v>119</v>
      </c>
      <c r="C1359" s="6">
        <v>28.6724</v>
      </c>
      <c r="D1359" s="7">
        <v>39.517299999999999</v>
      </c>
    </row>
    <row r="1360" spans="1:4" s="1" customFormat="1" ht="19.75" customHeight="1" x14ac:dyDescent="0.25">
      <c r="A1360" s="8">
        <f>2011</f>
        <v>2011</v>
      </c>
      <c r="B1360" s="3" t="s">
        <v>94</v>
      </c>
      <c r="C1360" s="4">
        <v>9.5436999999999994</v>
      </c>
      <c r="D1360" s="5">
        <v>11.209199999999999</v>
      </c>
    </row>
    <row r="1361" spans="1:4" s="1" customFormat="1" ht="19.75" customHeight="1" x14ac:dyDescent="0.25">
      <c r="A1361" s="8">
        <f>2011</f>
        <v>2011</v>
      </c>
      <c r="B1361" s="3" t="s">
        <v>59</v>
      </c>
      <c r="C1361" s="6">
        <v>5.4012000000000002</v>
      </c>
      <c r="D1361" s="7">
        <v>22.202300000000001</v>
      </c>
    </row>
    <row r="1362" spans="1:4" s="1" customFormat="1" ht="19.75" customHeight="1" x14ac:dyDescent="0.25">
      <c r="A1362" s="8">
        <f>2011</f>
        <v>2011</v>
      </c>
      <c r="B1362" s="3" t="s">
        <v>60</v>
      </c>
      <c r="C1362" s="4">
        <v>154.3826</v>
      </c>
      <c r="D1362" s="5">
        <v>221.68889999999999</v>
      </c>
    </row>
    <row r="1363" spans="1:4" s="1" customFormat="1" ht="19.75" customHeight="1" x14ac:dyDescent="0.25">
      <c r="A1363" s="8">
        <f>2011</f>
        <v>2011</v>
      </c>
      <c r="B1363" s="3" t="s">
        <v>61</v>
      </c>
      <c r="C1363" s="6">
        <v>313.3177</v>
      </c>
      <c r="D1363" s="7">
        <v>394.70979999999997</v>
      </c>
    </row>
    <row r="1364" spans="1:4" s="1" customFormat="1" ht="19.75" customHeight="1" x14ac:dyDescent="0.25">
      <c r="A1364" s="8">
        <f>2011</f>
        <v>2011</v>
      </c>
      <c r="B1364" s="3" t="s">
        <v>64</v>
      </c>
      <c r="C1364" s="4">
        <v>1.7543</v>
      </c>
      <c r="D1364" s="5">
        <v>1.8279000000000001</v>
      </c>
    </row>
    <row r="1365" spans="1:4" s="1" customFormat="1" ht="19.75" customHeight="1" x14ac:dyDescent="0.25">
      <c r="A1365" s="8">
        <f>2011</f>
        <v>2011</v>
      </c>
      <c r="B1365" s="3" t="s">
        <v>67</v>
      </c>
      <c r="C1365" s="6">
        <v>57.5017</v>
      </c>
      <c r="D1365" s="7">
        <v>63.000999999999998</v>
      </c>
    </row>
    <row r="1366" spans="1:4" s="1" customFormat="1" ht="19.75" customHeight="1" x14ac:dyDescent="0.25">
      <c r="A1366" s="8">
        <f>2011</f>
        <v>2011</v>
      </c>
      <c r="B1366" s="3" t="s">
        <v>68</v>
      </c>
      <c r="C1366" s="4">
        <v>89.225499999999997</v>
      </c>
      <c r="D1366" s="5">
        <v>102.41849999999999</v>
      </c>
    </row>
    <row r="1367" spans="1:4" s="1" customFormat="1" ht="19.75" customHeight="1" x14ac:dyDescent="0.25">
      <c r="A1367" s="8">
        <f>2011</f>
        <v>2011</v>
      </c>
      <c r="B1367" s="3" t="s">
        <v>69</v>
      </c>
      <c r="C1367" s="6">
        <v>182.26240000000001</v>
      </c>
      <c r="D1367" s="7">
        <v>219.21809999999999</v>
      </c>
    </row>
    <row r="1368" spans="1:4" s="1" customFormat="1" ht="19.75" customHeight="1" x14ac:dyDescent="0.25">
      <c r="A1368" s="8">
        <f>2011</f>
        <v>2011</v>
      </c>
      <c r="B1368" s="3" t="s">
        <v>95</v>
      </c>
      <c r="C1368" s="4">
        <v>1.2094</v>
      </c>
      <c r="D1368" s="5">
        <v>5.6429</v>
      </c>
    </row>
    <row r="1369" spans="1:4" s="1" customFormat="1" ht="19.75" customHeight="1" x14ac:dyDescent="0.25">
      <c r="A1369" s="8">
        <f>2011</f>
        <v>2011</v>
      </c>
      <c r="B1369" s="3" t="s">
        <v>71</v>
      </c>
      <c r="C1369" s="6">
        <v>6352.4252999999999</v>
      </c>
      <c r="D1369" s="7">
        <v>8823.9012999999995</v>
      </c>
    </row>
    <row r="1370" spans="1:4" s="1" customFormat="1" ht="19.75" customHeight="1" x14ac:dyDescent="0.25">
      <c r="A1370" s="8">
        <f>2011</f>
        <v>2011</v>
      </c>
      <c r="B1370" s="3" t="s">
        <v>99</v>
      </c>
      <c r="C1370" s="4">
        <v>1812.8480999999999</v>
      </c>
      <c r="D1370" s="5">
        <v>2599.2175999999999</v>
      </c>
    </row>
    <row r="1371" spans="1:4" s="1" customFormat="1" ht="19.75" customHeight="1" x14ac:dyDescent="0.25">
      <c r="A1371" s="8">
        <f>2011</f>
        <v>2011</v>
      </c>
      <c r="B1371" s="3" t="s">
        <v>74</v>
      </c>
      <c r="C1371" s="6">
        <v>185.4075</v>
      </c>
      <c r="D1371" s="7">
        <v>242.02269999999999</v>
      </c>
    </row>
    <row r="1372" spans="1:4" s="1" customFormat="1" ht="19.75" customHeight="1" x14ac:dyDescent="0.25">
      <c r="A1372" s="8">
        <f>2011</f>
        <v>2011</v>
      </c>
      <c r="B1372" s="3" t="s">
        <v>75</v>
      </c>
      <c r="C1372" s="4">
        <v>6.4229000000000003</v>
      </c>
      <c r="D1372" s="5">
        <v>6.423</v>
      </c>
    </row>
    <row r="1373" spans="1:4" s="1" customFormat="1" ht="19.75" customHeight="1" x14ac:dyDescent="0.25">
      <c r="A1373" s="8">
        <f>2010</f>
        <v>2010</v>
      </c>
      <c r="B1373" s="3" t="s">
        <v>112</v>
      </c>
      <c r="C1373" s="6">
        <v>3977.2190000000001</v>
      </c>
      <c r="D1373" s="7">
        <v>4559.8967000000002</v>
      </c>
    </row>
    <row r="1374" spans="1:4" s="1" customFormat="1" ht="19.75" customHeight="1" x14ac:dyDescent="0.25">
      <c r="A1374" s="8">
        <f>2010</f>
        <v>2010</v>
      </c>
      <c r="B1374" s="3" t="s">
        <v>113</v>
      </c>
      <c r="C1374" s="4">
        <v>6334.1184999999996</v>
      </c>
      <c r="D1374" s="5">
        <v>7175.4476999999997</v>
      </c>
    </row>
    <row r="1375" spans="1:4" s="1" customFormat="1" ht="19.75" customHeight="1" x14ac:dyDescent="0.25">
      <c r="A1375" s="8">
        <f>2010</f>
        <v>2010</v>
      </c>
      <c r="B1375" s="3" t="s">
        <v>9</v>
      </c>
      <c r="C1375" s="6">
        <v>70993.917499999996</v>
      </c>
      <c r="D1375" s="7">
        <v>85962.070200000002</v>
      </c>
    </row>
    <row r="1376" spans="1:4" s="1" customFormat="1" ht="19.75" customHeight="1" x14ac:dyDescent="0.25">
      <c r="A1376" s="8">
        <f>2010</f>
        <v>2010</v>
      </c>
      <c r="B1376" s="3" t="s">
        <v>123</v>
      </c>
      <c r="C1376" s="4">
        <v>2736.0979000000002</v>
      </c>
      <c r="D1376" s="5">
        <v>3109.4742000000001</v>
      </c>
    </row>
    <row r="1377" spans="1:4" s="1" customFormat="1" ht="19.75" customHeight="1" x14ac:dyDescent="0.25">
      <c r="A1377" s="8">
        <f>2010</f>
        <v>2010</v>
      </c>
      <c r="B1377" s="3" t="s">
        <v>114</v>
      </c>
      <c r="C1377" s="6">
        <v>3558.9153000000001</v>
      </c>
      <c r="D1377" s="7">
        <v>3984.6370000000002</v>
      </c>
    </row>
    <row r="1378" spans="1:4" s="1" customFormat="1" ht="19.75" customHeight="1" x14ac:dyDescent="0.25">
      <c r="A1378" s="8">
        <f>2010</f>
        <v>2010</v>
      </c>
      <c r="B1378" s="3" t="s">
        <v>115</v>
      </c>
      <c r="C1378" s="4">
        <v>5975.2707</v>
      </c>
      <c r="D1378" s="5">
        <v>6649.7080999999998</v>
      </c>
    </row>
    <row r="1379" spans="1:4" s="1" customFormat="1" ht="19.75" customHeight="1" x14ac:dyDescent="0.25">
      <c r="A1379" s="8">
        <f>2010</f>
        <v>2010</v>
      </c>
      <c r="B1379" s="3" t="s">
        <v>116</v>
      </c>
      <c r="C1379" s="6">
        <v>4378.1174000000001</v>
      </c>
      <c r="D1379" s="7">
        <v>4906.0781999999999</v>
      </c>
    </row>
    <row r="1380" spans="1:4" s="1" customFormat="1" ht="19.75" customHeight="1" x14ac:dyDescent="0.25">
      <c r="A1380" s="8">
        <f>2010</f>
        <v>2010</v>
      </c>
      <c r="B1380" s="3" t="s">
        <v>100</v>
      </c>
      <c r="C1380" s="4">
        <v>8369.2001999999993</v>
      </c>
      <c r="D1380" s="5">
        <v>9885.1025000000009</v>
      </c>
    </row>
    <row r="1381" spans="1:4" s="1" customFormat="1" ht="19.75" customHeight="1" x14ac:dyDescent="0.25">
      <c r="A1381" s="8">
        <f>2010</f>
        <v>2010</v>
      </c>
      <c r="B1381" s="3" t="s">
        <v>101</v>
      </c>
      <c r="C1381" s="6">
        <v>6372.8657000000003</v>
      </c>
      <c r="D1381" s="7">
        <v>7337.4857000000002</v>
      </c>
    </row>
    <row r="1382" spans="1:4" s="1" customFormat="1" ht="19.75" customHeight="1" x14ac:dyDescent="0.25">
      <c r="A1382" s="8">
        <f>2010</f>
        <v>2010</v>
      </c>
      <c r="B1382" s="3" t="s">
        <v>0</v>
      </c>
      <c r="C1382" s="4">
        <v>16698.342400000001</v>
      </c>
      <c r="D1382" s="5">
        <v>19504.698899999999</v>
      </c>
    </row>
    <row r="1383" spans="1:4" s="1" customFormat="1" ht="19.75" customHeight="1" x14ac:dyDescent="0.25">
      <c r="A1383" s="8">
        <f>2010</f>
        <v>2010</v>
      </c>
      <c r="B1383" s="3" t="s">
        <v>1</v>
      </c>
      <c r="C1383" s="6">
        <v>17877.9879</v>
      </c>
      <c r="D1383" s="7">
        <v>20494.624199999998</v>
      </c>
    </row>
    <row r="1384" spans="1:4" s="1" customFormat="1" ht="19.75" customHeight="1" x14ac:dyDescent="0.25">
      <c r="A1384" s="8">
        <f>2010</f>
        <v>2010</v>
      </c>
      <c r="B1384" s="3" t="s">
        <v>2</v>
      </c>
      <c r="C1384" s="4">
        <v>4735.5634</v>
      </c>
      <c r="D1384" s="5">
        <v>5326.8073000000004</v>
      </c>
    </row>
    <row r="1385" spans="1:4" s="1" customFormat="1" ht="19.75" customHeight="1" x14ac:dyDescent="0.25">
      <c r="A1385" s="8">
        <f>2010</f>
        <v>2010</v>
      </c>
      <c r="B1385" s="3" t="s">
        <v>3</v>
      </c>
      <c r="C1385" s="6">
        <v>18751.962299999999</v>
      </c>
      <c r="D1385" s="7">
        <v>21609.864699999998</v>
      </c>
    </row>
    <row r="1386" spans="1:4" s="1" customFormat="1" ht="19.75" customHeight="1" x14ac:dyDescent="0.25">
      <c r="A1386" s="8">
        <f>2010</f>
        <v>2010</v>
      </c>
      <c r="B1386" s="3" t="s">
        <v>4</v>
      </c>
      <c r="C1386" s="4">
        <v>12064.306200000001</v>
      </c>
      <c r="D1386" s="5">
        <v>13799.5515</v>
      </c>
    </row>
    <row r="1387" spans="1:4" s="1" customFormat="1" ht="19.75" customHeight="1" x14ac:dyDescent="0.25">
      <c r="A1387" s="8">
        <f>2010</f>
        <v>2010</v>
      </c>
      <c r="B1387" s="3" t="s">
        <v>102</v>
      </c>
      <c r="C1387" s="6">
        <v>6987.6872999999996</v>
      </c>
      <c r="D1387" s="7">
        <v>8481.0257000000001</v>
      </c>
    </row>
    <row r="1388" spans="1:4" s="1" customFormat="1" ht="19.75" customHeight="1" x14ac:dyDescent="0.25">
      <c r="A1388" s="8">
        <f>2010</f>
        <v>2010</v>
      </c>
      <c r="B1388" s="3" t="s">
        <v>108</v>
      </c>
      <c r="C1388" s="4">
        <v>4010.3560000000002</v>
      </c>
      <c r="D1388" s="5">
        <v>4598.9898000000003</v>
      </c>
    </row>
    <row r="1389" spans="1:4" s="1" customFormat="1" ht="19.75" customHeight="1" x14ac:dyDescent="0.25">
      <c r="A1389" s="8">
        <f>2010</f>
        <v>2010</v>
      </c>
      <c r="B1389" s="3" t="s">
        <v>21</v>
      </c>
      <c r="C1389" s="6">
        <v>15261.318600000001</v>
      </c>
      <c r="D1389" s="7">
        <v>17563.052500000002</v>
      </c>
    </row>
    <row r="1390" spans="1:4" s="1" customFormat="1" ht="19.75" customHeight="1" x14ac:dyDescent="0.25">
      <c r="A1390" s="8">
        <f>2010</f>
        <v>2010</v>
      </c>
      <c r="B1390" s="3" t="s">
        <v>5</v>
      </c>
      <c r="C1390" s="4">
        <v>7714.3694999999998</v>
      </c>
      <c r="D1390" s="5">
        <v>9030.7775000000001</v>
      </c>
    </row>
    <row r="1391" spans="1:4" s="1" customFormat="1" ht="19.75" customHeight="1" x14ac:dyDescent="0.25">
      <c r="A1391" s="8">
        <f>2010</f>
        <v>2010</v>
      </c>
      <c r="B1391" s="3" t="s">
        <v>6</v>
      </c>
      <c r="C1391" s="6">
        <v>10245.773499999999</v>
      </c>
      <c r="D1391" s="7">
        <v>11389.0272</v>
      </c>
    </row>
    <row r="1392" spans="1:4" s="1" customFormat="1" ht="19.75" customHeight="1" x14ac:dyDescent="0.25">
      <c r="A1392" s="8">
        <f>2010</f>
        <v>2010</v>
      </c>
      <c r="B1392" s="3" t="s">
        <v>103</v>
      </c>
      <c r="C1392" s="4">
        <v>10257.1271</v>
      </c>
      <c r="D1392" s="5">
        <v>11457.171</v>
      </c>
    </row>
    <row r="1393" spans="1:4" s="1" customFormat="1" ht="19.75" customHeight="1" x14ac:dyDescent="0.25">
      <c r="A1393" s="8">
        <f>2010</f>
        <v>2010</v>
      </c>
      <c r="B1393" s="3" t="s">
        <v>7</v>
      </c>
      <c r="C1393" s="6">
        <v>3934.1761999999999</v>
      </c>
      <c r="D1393" s="7">
        <v>4345.9834000000001</v>
      </c>
    </row>
    <row r="1394" spans="1:4" s="1" customFormat="1" ht="19.75" customHeight="1" x14ac:dyDescent="0.25">
      <c r="A1394" s="8">
        <f>2010</f>
        <v>2010</v>
      </c>
      <c r="B1394" s="3" t="s">
        <v>8</v>
      </c>
      <c r="C1394" s="4">
        <v>21422.0949</v>
      </c>
      <c r="D1394" s="5">
        <v>25032.222399999999</v>
      </c>
    </row>
    <row r="1395" spans="1:4" s="1" customFormat="1" ht="19.75" customHeight="1" x14ac:dyDescent="0.25">
      <c r="A1395" s="8">
        <f>2010</f>
        <v>2010</v>
      </c>
      <c r="B1395" s="3" t="s">
        <v>104</v>
      </c>
      <c r="C1395" s="6">
        <v>10047.1762</v>
      </c>
      <c r="D1395" s="7">
        <v>11214.636200000001</v>
      </c>
    </row>
    <row r="1396" spans="1:4" s="1" customFormat="1" ht="19.75" customHeight="1" x14ac:dyDescent="0.25">
      <c r="A1396" s="8">
        <f>2010</f>
        <v>2010</v>
      </c>
      <c r="B1396" s="3" t="s">
        <v>10</v>
      </c>
      <c r="C1396" s="4">
        <v>9526.3215999999993</v>
      </c>
      <c r="D1396" s="5">
        <v>10492.249400000001</v>
      </c>
    </row>
    <row r="1397" spans="1:4" s="1" customFormat="1" ht="19.75" customHeight="1" x14ac:dyDescent="0.25">
      <c r="A1397" s="8">
        <f>2010</f>
        <v>2010</v>
      </c>
      <c r="B1397" s="3" t="s">
        <v>11</v>
      </c>
      <c r="C1397" s="6">
        <v>13302.679099999999</v>
      </c>
      <c r="D1397" s="7">
        <v>15277.4192</v>
      </c>
    </row>
    <row r="1398" spans="1:4" s="1" customFormat="1" ht="19.75" customHeight="1" x14ac:dyDescent="0.25">
      <c r="A1398" s="8">
        <f>2010</f>
        <v>2010</v>
      </c>
      <c r="B1398" s="3" t="s">
        <v>105</v>
      </c>
      <c r="C1398" s="4">
        <v>5248.9395999999997</v>
      </c>
      <c r="D1398" s="5">
        <v>5807.6813000000002</v>
      </c>
    </row>
    <row r="1399" spans="1:4" s="1" customFormat="1" ht="19.75" customHeight="1" x14ac:dyDescent="0.25">
      <c r="A1399" s="8">
        <f>2010</f>
        <v>2010</v>
      </c>
      <c r="B1399" s="3" t="s">
        <v>109</v>
      </c>
      <c r="C1399" s="6">
        <v>5200.6463000000003</v>
      </c>
      <c r="D1399" s="7">
        <v>5880.0982000000004</v>
      </c>
    </row>
    <row r="1400" spans="1:4" s="1" customFormat="1" ht="19.75" customHeight="1" x14ac:dyDescent="0.25">
      <c r="A1400" s="8">
        <f>2010</f>
        <v>2010</v>
      </c>
      <c r="B1400" s="3" t="s">
        <v>12</v>
      </c>
      <c r="C1400" s="4">
        <v>11638.021500000001</v>
      </c>
      <c r="D1400" s="5">
        <v>15583.803400000001</v>
      </c>
    </row>
    <row r="1401" spans="1:4" s="1" customFormat="1" ht="19.75" customHeight="1" x14ac:dyDescent="0.25">
      <c r="A1401" s="8">
        <f>2010</f>
        <v>2010</v>
      </c>
      <c r="B1401" s="3" t="s">
        <v>124</v>
      </c>
      <c r="C1401" s="6">
        <v>1359.4885999999999</v>
      </c>
      <c r="D1401" s="7">
        <v>1489.4822999999999</v>
      </c>
    </row>
    <row r="1402" spans="1:4" s="1" customFormat="1" ht="19.75" customHeight="1" x14ac:dyDescent="0.25">
      <c r="A1402" s="8">
        <f>2010</f>
        <v>2010</v>
      </c>
      <c r="B1402" s="3" t="s">
        <v>14</v>
      </c>
      <c r="C1402" s="4">
        <v>956.60799999999995</v>
      </c>
      <c r="D1402" s="5">
        <v>1100.1077</v>
      </c>
    </row>
    <row r="1403" spans="1:4" s="1" customFormat="1" ht="19.75" customHeight="1" x14ac:dyDescent="0.25">
      <c r="A1403" s="8">
        <f>2010</f>
        <v>2010</v>
      </c>
      <c r="B1403" s="3" t="s">
        <v>15</v>
      </c>
      <c r="C1403" s="6">
        <v>577.95640000000003</v>
      </c>
      <c r="D1403" s="7">
        <v>651.92100000000005</v>
      </c>
    </row>
    <row r="1404" spans="1:4" s="1" customFormat="1" ht="19.75" customHeight="1" x14ac:dyDescent="0.25">
      <c r="A1404" s="8">
        <f>2010</f>
        <v>2010</v>
      </c>
      <c r="B1404" s="3" t="s">
        <v>16</v>
      </c>
      <c r="C1404" s="4">
        <v>458.97070000000002</v>
      </c>
      <c r="D1404" s="5">
        <v>566.4923</v>
      </c>
    </row>
    <row r="1405" spans="1:4" s="1" customFormat="1" ht="19.75" customHeight="1" x14ac:dyDescent="0.25">
      <c r="A1405" s="8">
        <f>2010</f>
        <v>2010</v>
      </c>
      <c r="B1405" s="3" t="s">
        <v>17</v>
      </c>
      <c r="C1405" s="6">
        <v>534.57060000000001</v>
      </c>
      <c r="D1405" s="7">
        <v>625.55820000000006</v>
      </c>
    </row>
    <row r="1406" spans="1:4" s="1" customFormat="1" ht="19.75" customHeight="1" x14ac:dyDescent="0.25">
      <c r="A1406" s="8">
        <f>2010</f>
        <v>2010</v>
      </c>
      <c r="B1406" s="3" t="s">
        <v>18</v>
      </c>
      <c r="C1406" s="4">
        <v>3673.2363</v>
      </c>
      <c r="D1406" s="5">
        <v>4204.1439</v>
      </c>
    </row>
    <row r="1407" spans="1:4" s="1" customFormat="1" ht="19.75" customHeight="1" x14ac:dyDescent="0.25">
      <c r="A1407" s="8">
        <f>2010</f>
        <v>2010</v>
      </c>
      <c r="B1407" s="3" t="s">
        <v>19</v>
      </c>
      <c r="C1407" s="6">
        <v>16172.7194</v>
      </c>
      <c r="D1407" s="7">
        <v>20155.8282</v>
      </c>
    </row>
    <row r="1408" spans="1:4" s="1" customFormat="1" ht="19.75" customHeight="1" x14ac:dyDescent="0.25">
      <c r="A1408" s="8">
        <f>2010</f>
        <v>2010</v>
      </c>
      <c r="B1408" s="3" t="s">
        <v>20</v>
      </c>
      <c r="C1408" s="4">
        <v>25706.933099999998</v>
      </c>
      <c r="D1408" s="5">
        <v>33184.583100000003</v>
      </c>
    </row>
    <row r="1409" spans="1:4" s="1" customFormat="1" ht="19.75" customHeight="1" x14ac:dyDescent="0.25">
      <c r="A1409" s="8">
        <f>2010</f>
        <v>2010</v>
      </c>
      <c r="B1409" s="3" t="s">
        <v>23</v>
      </c>
      <c r="C1409" s="6">
        <v>2706.9949000000001</v>
      </c>
      <c r="D1409" s="7">
        <v>3260.4724999999999</v>
      </c>
    </row>
    <row r="1410" spans="1:4" s="1" customFormat="1" ht="19.75" customHeight="1" x14ac:dyDescent="0.25">
      <c r="A1410" s="8">
        <f>2010</f>
        <v>2010</v>
      </c>
      <c r="B1410" s="3" t="s">
        <v>120</v>
      </c>
      <c r="C1410" s="4">
        <v>2232.8904000000002</v>
      </c>
      <c r="D1410" s="5">
        <v>2853.1109999999999</v>
      </c>
    </row>
    <row r="1411" spans="1:4" s="1" customFormat="1" ht="19.75" customHeight="1" x14ac:dyDescent="0.25">
      <c r="A1411" s="8">
        <f>2010</f>
        <v>2010</v>
      </c>
      <c r="B1411" s="3" t="s">
        <v>24</v>
      </c>
      <c r="C1411" s="6">
        <v>3056.8791000000001</v>
      </c>
      <c r="D1411" s="7">
        <v>3473.1147999999998</v>
      </c>
    </row>
    <row r="1412" spans="1:4" s="1" customFormat="1" ht="19.75" customHeight="1" x14ac:dyDescent="0.25">
      <c r="A1412" s="8">
        <f>2010</f>
        <v>2010</v>
      </c>
      <c r="B1412" s="3" t="s">
        <v>25</v>
      </c>
      <c r="C1412" s="4">
        <v>1975.973</v>
      </c>
      <c r="D1412" s="5">
        <v>2354.681</v>
      </c>
    </row>
    <row r="1413" spans="1:4" s="1" customFormat="1" ht="19.75" customHeight="1" x14ac:dyDescent="0.25">
      <c r="A1413" s="8">
        <f>2010</f>
        <v>2010</v>
      </c>
      <c r="B1413" s="3" t="s">
        <v>26</v>
      </c>
      <c r="C1413" s="6">
        <v>1757.9454000000001</v>
      </c>
      <c r="D1413" s="7">
        <v>2004.9223999999999</v>
      </c>
    </row>
    <row r="1414" spans="1:4" s="1" customFormat="1" ht="19.75" customHeight="1" x14ac:dyDescent="0.25">
      <c r="A1414" s="8">
        <f>2010</f>
        <v>2010</v>
      </c>
      <c r="B1414" s="3" t="s">
        <v>27</v>
      </c>
      <c r="C1414" s="4">
        <v>3255.6248999999998</v>
      </c>
      <c r="D1414" s="5">
        <v>3883.8649</v>
      </c>
    </row>
    <row r="1415" spans="1:4" s="1" customFormat="1" ht="19.75" customHeight="1" x14ac:dyDescent="0.25">
      <c r="A1415" s="8">
        <f>2010</f>
        <v>2010</v>
      </c>
      <c r="B1415" s="3" t="s">
        <v>106</v>
      </c>
      <c r="C1415" s="6">
        <v>909.32399999999996</v>
      </c>
      <c r="D1415" s="7">
        <v>1012.881</v>
      </c>
    </row>
    <row r="1416" spans="1:4" s="1" customFormat="1" ht="19.75" customHeight="1" x14ac:dyDescent="0.25">
      <c r="A1416" s="8">
        <f>2010</f>
        <v>2010</v>
      </c>
      <c r="B1416" s="3" t="s">
        <v>28</v>
      </c>
      <c r="C1416" s="4">
        <v>224.08340000000001</v>
      </c>
      <c r="D1416" s="5">
        <v>240.4667</v>
      </c>
    </row>
    <row r="1417" spans="1:4" s="1" customFormat="1" ht="19.75" customHeight="1" x14ac:dyDescent="0.25">
      <c r="A1417" s="8">
        <f>2010</f>
        <v>2010</v>
      </c>
      <c r="B1417" s="3" t="s">
        <v>29</v>
      </c>
      <c r="C1417" s="6">
        <v>144.16579999999999</v>
      </c>
      <c r="D1417" s="7">
        <v>157.38570000000001</v>
      </c>
    </row>
    <row r="1418" spans="1:4" s="1" customFormat="1" ht="19.75" customHeight="1" x14ac:dyDescent="0.25">
      <c r="A1418" s="8">
        <f>2010</f>
        <v>2010</v>
      </c>
      <c r="B1418" s="3" t="s">
        <v>122</v>
      </c>
      <c r="C1418" s="4">
        <v>40.207500000000003</v>
      </c>
      <c r="D1418" s="5">
        <v>46.05</v>
      </c>
    </row>
    <row r="1419" spans="1:4" s="1" customFormat="1" ht="19.75" customHeight="1" x14ac:dyDescent="0.25">
      <c r="A1419" s="8">
        <f>2010</f>
        <v>2010</v>
      </c>
      <c r="B1419" s="3" t="s">
        <v>30</v>
      </c>
      <c r="C1419" s="6">
        <v>1935.721</v>
      </c>
      <c r="D1419" s="7">
        <v>2144.1812</v>
      </c>
    </row>
    <row r="1420" spans="1:4" s="1" customFormat="1" ht="19.75" customHeight="1" x14ac:dyDescent="0.25">
      <c r="A1420" s="8">
        <f>2010</f>
        <v>2010</v>
      </c>
      <c r="B1420" s="3" t="s">
        <v>31</v>
      </c>
      <c r="C1420" s="4">
        <v>1118.4059</v>
      </c>
      <c r="D1420" s="5">
        <v>1291.2021999999999</v>
      </c>
    </row>
    <row r="1421" spans="1:4" s="1" customFormat="1" ht="19.75" customHeight="1" x14ac:dyDescent="0.25">
      <c r="A1421" s="8">
        <f>2010</f>
        <v>2010</v>
      </c>
      <c r="B1421" s="3" t="s">
        <v>32</v>
      </c>
      <c r="C1421" s="6">
        <v>2369.7096999999999</v>
      </c>
      <c r="D1421" s="7">
        <v>2945.2417</v>
      </c>
    </row>
    <row r="1422" spans="1:4" s="1" customFormat="1" ht="19.75" customHeight="1" x14ac:dyDescent="0.25">
      <c r="A1422" s="8">
        <f>2010</f>
        <v>2010</v>
      </c>
      <c r="B1422" s="3" t="s">
        <v>92</v>
      </c>
      <c r="C1422" s="4">
        <v>3.3008999999999999</v>
      </c>
      <c r="D1422" s="5">
        <v>15.761200000000001</v>
      </c>
    </row>
    <row r="1423" spans="1:4" s="1" customFormat="1" ht="19.75" customHeight="1" x14ac:dyDescent="0.25">
      <c r="A1423" s="8">
        <f>2010</f>
        <v>2010</v>
      </c>
      <c r="B1423" s="3" t="s">
        <v>97</v>
      </c>
      <c r="C1423" s="6">
        <v>41.0989</v>
      </c>
      <c r="D1423" s="7">
        <v>44.375999999999998</v>
      </c>
    </row>
    <row r="1424" spans="1:4" s="1" customFormat="1" ht="19.75" customHeight="1" x14ac:dyDescent="0.25">
      <c r="A1424" s="8">
        <f>2010</f>
        <v>2010</v>
      </c>
      <c r="B1424" s="3" t="s">
        <v>34</v>
      </c>
      <c r="C1424" s="4">
        <v>63.822000000000003</v>
      </c>
      <c r="D1424" s="5">
        <v>378.4237</v>
      </c>
    </row>
    <row r="1425" spans="1:4" s="1" customFormat="1" ht="19.75" customHeight="1" x14ac:dyDescent="0.25">
      <c r="A1425" s="8">
        <f>2010</f>
        <v>2010</v>
      </c>
      <c r="B1425" s="3" t="s">
        <v>36</v>
      </c>
      <c r="C1425" s="6">
        <v>568.61559999999997</v>
      </c>
      <c r="D1425" s="7">
        <v>1061.4738</v>
      </c>
    </row>
    <row r="1426" spans="1:4" s="1" customFormat="1" ht="19.75" customHeight="1" x14ac:dyDescent="0.25">
      <c r="A1426" s="8">
        <f>2010</f>
        <v>2010</v>
      </c>
      <c r="B1426" s="3" t="s">
        <v>37</v>
      </c>
      <c r="C1426" s="4">
        <v>40.534100000000002</v>
      </c>
      <c r="D1426" s="5">
        <v>50.710700000000003</v>
      </c>
    </row>
    <row r="1427" spans="1:4" s="1" customFormat="1" ht="19.75" customHeight="1" x14ac:dyDescent="0.25">
      <c r="A1427" s="8">
        <f>2010</f>
        <v>2010</v>
      </c>
      <c r="B1427" s="3" t="s">
        <v>38</v>
      </c>
      <c r="C1427" s="6">
        <v>11.4602</v>
      </c>
      <c r="D1427" s="7">
        <v>17.561800000000002</v>
      </c>
    </row>
    <row r="1428" spans="1:4" s="1" customFormat="1" ht="19.75" customHeight="1" x14ac:dyDescent="0.25">
      <c r="A1428" s="8">
        <f>2010</f>
        <v>2010</v>
      </c>
      <c r="B1428" s="3" t="s">
        <v>40</v>
      </c>
      <c r="C1428" s="4">
        <v>423.81169999999997</v>
      </c>
      <c r="D1428" s="5">
        <v>557.18230000000005</v>
      </c>
    </row>
    <row r="1429" spans="1:4" s="1" customFormat="1" ht="19.75" customHeight="1" x14ac:dyDescent="0.25">
      <c r="A1429" s="8">
        <f>2010</f>
        <v>2010</v>
      </c>
      <c r="B1429" s="3" t="s">
        <v>41</v>
      </c>
      <c r="C1429" s="6">
        <v>1659.2616</v>
      </c>
      <c r="D1429" s="7">
        <v>1808.4817</v>
      </c>
    </row>
    <row r="1430" spans="1:4" s="1" customFormat="1" ht="19.75" customHeight="1" x14ac:dyDescent="0.25">
      <c r="A1430" s="8">
        <f>2010</f>
        <v>2010</v>
      </c>
      <c r="B1430" s="3" t="s">
        <v>42</v>
      </c>
      <c r="C1430" s="4">
        <v>584.9633</v>
      </c>
      <c r="D1430" s="5">
        <v>779.67439999999999</v>
      </c>
    </row>
    <row r="1431" spans="1:4" s="1" customFormat="1" ht="19.75" customHeight="1" x14ac:dyDescent="0.25">
      <c r="A1431" s="8">
        <f>2010</f>
        <v>2010</v>
      </c>
      <c r="B1431" s="3" t="s">
        <v>43</v>
      </c>
      <c r="C1431" s="6">
        <v>6070.4683000000005</v>
      </c>
      <c r="D1431" s="7">
        <v>7661.8032999999996</v>
      </c>
    </row>
    <row r="1432" spans="1:4" s="1" customFormat="1" ht="19.75" customHeight="1" x14ac:dyDescent="0.25">
      <c r="A1432" s="8">
        <f>2010</f>
        <v>2010</v>
      </c>
      <c r="B1432" s="3" t="s">
        <v>45</v>
      </c>
      <c r="C1432" s="4">
        <v>329.75869999999998</v>
      </c>
      <c r="D1432" s="5">
        <v>569.51080000000002</v>
      </c>
    </row>
    <row r="1433" spans="1:4" s="1" customFormat="1" ht="19.75" customHeight="1" x14ac:dyDescent="0.25">
      <c r="A1433" s="8">
        <f>2010</f>
        <v>2010</v>
      </c>
      <c r="B1433" s="3" t="s">
        <v>46</v>
      </c>
      <c r="C1433" s="6">
        <v>16.929099999999998</v>
      </c>
      <c r="D1433" s="7">
        <v>20.541799999999999</v>
      </c>
    </row>
    <row r="1434" spans="1:4" s="1" customFormat="1" ht="19.75" customHeight="1" x14ac:dyDescent="0.25">
      <c r="A1434" s="8">
        <f>2010</f>
        <v>2010</v>
      </c>
      <c r="B1434" s="3" t="s">
        <v>47</v>
      </c>
      <c r="C1434" s="4">
        <v>879.80589999999995</v>
      </c>
      <c r="D1434" s="5">
        <v>1034.6767</v>
      </c>
    </row>
    <row r="1435" spans="1:4" s="1" customFormat="1" ht="19.75" customHeight="1" x14ac:dyDescent="0.25">
      <c r="A1435" s="8">
        <f>2010</f>
        <v>2010</v>
      </c>
      <c r="B1435" s="3" t="s">
        <v>48</v>
      </c>
      <c r="C1435" s="6">
        <v>1578.8714</v>
      </c>
      <c r="D1435" s="7">
        <v>2395.9180999999999</v>
      </c>
    </row>
    <row r="1436" spans="1:4" s="1" customFormat="1" ht="19.75" customHeight="1" x14ac:dyDescent="0.25">
      <c r="A1436" s="8">
        <f>2010</f>
        <v>2010</v>
      </c>
      <c r="B1436" s="3" t="s">
        <v>52</v>
      </c>
      <c r="C1436" s="4">
        <v>5.6489000000000003</v>
      </c>
      <c r="D1436" s="5">
        <v>17.587</v>
      </c>
    </row>
    <row r="1437" spans="1:4" s="1" customFormat="1" ht="19.75" customHeight="1" x14ac:dyDescent="0.25">
      <c r="A1437" s="8">
        <f>2010</f>
        <v>2010</v>
      </c>
      <c r="B1437" s="3" t="s">
        <v>98</v>
      </c>
      <c r="C1437" s="6">
        <v>5165.8815000000004</v>
      </c>
      <c r="D1437" s="7">
        <v>7301.3651</v>
      </c>
    </row>
    <row r="1438" spans="1:4" s="1" customFormat="1" ht="19.75" customHeight="1" x14ac:dyDescent="0.25">
      <c r="A1438" s="8">
        <f>2010</f>
        <v>2010</v>
      </c>
      <c r="B1438" s="3" t="s">
        <v>121</v>
      </c>
      <c r="C1438" s="4">
        <v>14.3695</v>
      </c>
      <c r="D1438" s="5">
        <v>25.299299999999999</v>
      </c>
    </row>
    <row r="1439" spans="1:4" s="1" customFormat="1" ht="19.75" customHeight="1" x14ac:dyDescent="0.25">
      <c r="A1439" s="8">
        <f>2010</f>
        <v>2010</v>
      </c>
      <c r="B1439" s="3" t="s">
        <v>55</v>
      </c>
      <c r="C1439" s="6">
        <v>438.10390000000001</v>
      </c>
      <c r="D1439" s="7">
        <v>337.1071</v>
      </c>
    </row>
    <row r="1440" spans="1:4" s="1" customFormat="1" ht="19.75" customHeight="1" x14ac:dyDescent="0.25">
      <c r="A1440" s="8">
        <f>2010</f>
        <v>2010</v>
      </c>
      <c r="B1440" s="3" t="s">
        <v>56</v>
      </c>
      <c r="C1440" s="4">
        <v>5.2266000000000004</v>
      </c>
      <c r="D1440" s="5">
        <v>5.4997999999999996</v>
      </c>
    </row>
    <row r="1441" spans="1:4" s="1" customFormat="1" ht="19.75" customHeight="1" x14ac:dyDescent="0.25">
      <c r="A1441" s="8">
        <f>2010</f>
        <v>2010</v>
      </c>
      <c r="B1441" s="3" t="s">
        <v>119</v>
      </c>
      <c r="C1441" s="6">
        <v>34.290999999999997</v>
      </c>
      <c r="D1441" s="7">
        <v>49.563899999999997</v>
      </c>
    </row>
    <row r="1442" spans="1:4" s="1" customFormat="1" ht="19.75" customHeight="1" x14ac:dyDescent="0.25">
      <c r="A1442" s="8">
        <f>2010</f>
        <v>2010</v>
      </c>
      <c r="B1442" s="3" t="s">
        <v>94</v>
      </c>
      <c r="C1442" s="4">
        <v>7.8982999999999999</v>
      </c>
      <c r="D1442" s="5">
        <v>8.9771000000000001</v>
      </c>
    </row>
    <row r="1443" spans="1:4" s="1" customFormat="1" ht="19.75" customHeight="1" x14ac:dyDescent="0.25">
      <c r="A1443" s="8">
        <f>2010</f>
        <v>2010</v>
      </c>
      <c r="B1443" s="3" t="s">
        <v>59</v>
      </c>
      <c r="C1443" s="6">
        <v>5.2426000000000004</v>
      </c>
      <c r="D1443" s="7">
        <v>18.362500000000001</v>
      </c>
    </row>
    <row r="1444" spans="1:4" s="1" customFormat="1" ht="19.75" customHeight="1" x14ac:dyDescent="0.25">
      <c r="A1444" s="8">
        <f>2010</f>
        <v>2010</v>
      </c>
      <c r="B1444" s="3" t="s">
        <v>60</v>
      </c>
      <c r="C1444" s="4">
        <v>98.370599999999996</v>
      </c>
      <c r="D1444" s="5">
        <v>135.6328</v>
      </c>
    </row>
    <row r="1445" spans="1:4" s="1" customFormat="1" ht="19.75" customHeight="1" x14ac:dyDescent="0.25">
      <c r="A1445" s="8">
        <f>2010</f>
        <v>2010</v>
      </c>
      <c r="B1445" s="3" t="s">
        <v>61</v>
      </c>
      <c r="C1445" s="6">
        <v>256.41520000000003</v>
      </c>
      <c r="D1445" s="7">
        <v>333.7552</v>
      </c>
    </row>
    <row r="1446" spans="1:4" s="1" customFormat="1" ht="19.75" customHeight="1" x14ac:dyDescent="0.25">
      <c r="A1446" s="8">
        <f>2010</f>
        <v>2010</v>
      </c>
      <c r="B1446" s="3" t="s">
        <v>64</v>
      </c>
      <c r="C1446" s="4">
        <v>0.92769999999999997</v>
      </c>
      <c r="D1446" s="5">
        <v>0.83499999999999996</v>
      </c>
    </row>
    <row r="1447" spans="1:4" s="1" customFormat="1" ht="19.75" customHeight="1" x14ac:dyDescent="0.25">
      <c r="A1447" s="8">
        <f>2010</f>
        <v>2010</v>
      </c>
      <c r="B1447" s="3" t="s">
        <v>67</v>
      </c>
      <c r="C1447" s="6">
        <v>43.588500000000003</v>
      </c>
      <c r="D1447" s="7">
        <v>48.156100000000002</v>
      </c>
    </row>
    <row r="1448" spans="1:4" s="1" customFormat="1" ht="19.75" customHeight="1" x14ac:dyDescent="0.25">
      <c r="A1448" s="8">
        <f>2010</f>
        <v>2010</v>
      </c>
      <c r="B1448" s="3" t="s">
        <v>68</v>
      </c>
      <c r="C1448" s="4">
        <v>69.327600000000004</v>
      </c>
      <c r="D1448" s="5">
        <v>81.918999999999997</v>
      </c>
    </row>
    <row r="1449" spans="1:4" s="1" customFormat="1" ht="19.75" customHeight="1" x14ac:dyDescent="0.25">
      <c r="A1449" s="8">
        <f>2010</f>
        <v>2010</v>
      </c>
      <c r="B1449" s="3" t="s">
        <v>69</v>
      </c>
      <c r="C1449" s="6">
        <v>108.6504</v>
      </c>
      <c r="D1449" s="7">
        <v>117.6211</v>
      </c>
    </row>
    <row r="1450" spans="1:4" s="1" customFormat="1" ht="19.75" customHeight="1" x14ac:dyDescent="0.25">
      <c r="A1450" s="8">
        <f>2010</f>
        <v>2010</v>
      </c>
      <c r="B1450" s="3" t="s">
        <v>95</v>
      </c>
      <c r="C1450" s="4">
        <v>1.1427</v>
      </c>
      <c r="D1450" s="5">
        <v>6.1056999999999997</v>
      </c>
    </row>
    <row r="1451" spans="1:4" s="1" customFormat="1" ht="19.75" customHeight="1" x14ac:dyDescent="0.25">
      <c r="A1451" s="8">
        <f>2010</f>
        <v>2010</v>
      </c>
      <c r="B1451" s="3" t="s">
        <v>71</v>
      </c>
      <c r="C1451" s="6">
        <v>5674.8900999999996</v>
      </c>
      <c r="D1451" s="7">
        <v>8512.5077000000001</v>
      </c>
    </row>
    <row r="1452" spans="1:4" s="1" customFormat="1" ht="19.75" customHeight="1" x14ac:dyDescent="0.25">
      <c r="A1452" s="8">
        <f>2010</f>
        <v>2010</v>
      </c>
      <c r="B1452" s="3" t="s">
        <v>99</v>
      </c>
      <c r="C1452" s="4">
        <v>2126.2584999999999</v>
      </c>
      <c r="D1452" s="5">
        <v>2875.7345999999998</v>
      </c>
    </row>
    <row r="1453" spans="1:4" s="1" customFormat="1" ht="19.75" customHeight="1" x14ac:dyDescent="0.25">
      <c r="A1453" s="8">
        <f>2010</f>
        <v>2010</v>
      </c>
      <c r="B1453" s="3" t="s">
        <v>74</v>
      </c>
      <c r="C1453" s="6">
        <v>60.723700000000001</v>
      </c>
      <c r="D1453" s="7">
        <v>68.828900000000004</v>
      </c>
    </row>
    <row r="1454" spans="1:4" s="1" customFormat="1" ht="19.75" customHeight="1" x14ac:dyDescent="0.25">
      <c r="A1454" s="8">
        <f>2010</f>
        <v>2010</v>
      </c>
      <c r="B1454" s="3" t="s">
        <v>112</v>
      </c>
      <c r="C1454" s="4">
        <v>3810.28</v>
      </c>
      <c r="D1454" s="5">
        <v>4387.3319000000001</v>
      </c>
    </row>
    <row r="1455" spans="1:4" s="1" customFormat="1" ht="19.75" customHeight="1" x14ac:dyDescent="0.25">
      <c r="A1455" s="8">
        <f>2010</f>
        <v>2010</v>
      </c>
      <c r="B1455" s="3" t="s">
        <v>113</v>
      </c>
      <c r="C1455" s="6">
        <v>5709.4956000000002</v>
      </c>
      <c r="D1455" s="7">
        <v>6478.8185000000003</v>
      </c>
    </row>
    <row r="1456" spans="1:4" s="1" customFormat="1" ht="19.75" customHeight="1" x14ac:dyDescent="0.25">
      <c r="A1456" s="8">
        <f>2010</f>
        <v>2010</v>
      </c>
      <c r="B1456" s="3" t="s">
        <v>9</v>
      </c>
      <c r="C1456" s="4">
        <v>63788.433799999999</v>
      </c>
      <c r="D1456" s="5">
        <v>76479.222800000003</v>
      </c>
    </row>
    <row r="1457" spans="1:4" s="1" customFormat="1" ht="19.75" customHeight="1" x14ac:dyDescent="0.25">
      <c r="A1457" s="8">
        <f>2010</f>
        <v>2010</v>
      </c>
      <c r="B1457" s="3" t="s">
        <v>123</v>
      </c>
      <c r="C1457" s="6">
        <v>2713.0761000000002</v>
      </c>
      <c r="D1457" s="7">
        <v>3063.4791</v>
      </c>
    </row>
    <row r="1458" spans="1:4" s="1" customFormat="1" ht="19.75" customHeight="1" x14ac:dyDescent="0.25">
      <c r="A1458" s="8">
        <f>2010</f>
        <v>2010</v>
      </c>
      <c r="B1458" s="3" t="s">
        <v>114</v>
      </c>
      <c r="C1458" s="4">
        <v>3247.2757000000001</v>
      </c>
      <c r="D1458" s="5">
        <v>3727.6383000000001</v>
      </c>
    </row>
    <row r="1459" spans="1:4" s="1" customFormat="1" ht="19.75" customHeight="1" x14ac:dyDescent="0.25">
      <c r="A1459" s="8">
        <f>2010</f>
        <v>2010</v>
      </c>
      <c r="B1459" s="3" t="s">
        <v>115</v>
      </c>
      <c r="C1459" s="6">
        <v>5804.0582000000004</v>
      </c>
      <c r="D1459" s="7">
        <v>6435.6939000000002</v>
      </c>
    </row>
    <row r="1460" spans="1:4" s="1" customFormat="1" ht="19.75" customHeight="1" x14ac:dyDescent="0.25">
      <c r="A1460" s="8">
        <f>2010</f>
        <v>2010</v>
      </c>
      <c r="B1460" s="3" t="s">
        <v>116</v>
      </c>
      <c r="C1460" s="4">
        <v>4123.1514999999999</v>
      </c>
      <c r="D1460" s="5">
        <v>4696.2479999999996</v>
      </c>
    </row>
    <row r="1461" spans="1:4" s="1" customFormat="1" ht="19.75" customHeight="1" x14ac:dyDescent="0.25">
      <c r="A1461" s="8">
        <f>2009</f>
        <v>2009</v>
      </c>
      <c r="B1461" s="3" t="s">
        <v>100</v>
      </c>
      <c r="C1461" s="6">
        <v>7364.7278999999999</v>
      </c>
      <c r="D1461" s="7">
        <v>8506.6522000000004</v>
      </c>
    </row>
    <row r="1462" spans="1:4" s="1" customFormat="1" ht="19.75" customHeight="1" x14ac:dyDescent="0.25">
      <c r="A1462" s="8">
        <f>2009</f>
        <v>2009</v>
      </c>
      <c r="B1462" s="3" t="s">
        <v>101</v>
      </c>
      <c r="C1462" s="4">
        <v>5374.6167999999998</v>
      </c>
      <c r="D1462" s="5">
        <v>6139.9992000000002</v>
      </c>
    </row>
    <row r="1463" spans="1:4" s="1" customFormat="1" ht="19.75" customHeight="1" x14ac:dyDescent="0.25">
      <c r="A1463" s="8">
        <f>2009</f>
        <v>2009</v>
      </c>
      <c r="B1463" s="3" t="s">
        <v>0</v>
      </c>
      <c r="C1463" s="6">
        <v>15091.5774</v>
      </c>
      <c r="D1463" s="7">
        <v>17849.235400000001</v>
      </c>
    </row>
    <row r="1464" spans="1:4" s="1" customFormat="1" ht="19.75" customHeight="1" x14ac:dyDescent="0.25">
      <c r="A1464" s="8">
        <f>2009</f>
        <v>2009</v>
      </c>
      <c r="B1464" s="3" t="s">
        <v>1</v>
      </c>
      <c r="C1464" s="4">
        <v>16347.357900000001</v>
      </c>
      <c r="D1464" s="5">
        <v>19399.220600000001</v>
      </c>
    </row>
    <row r="1465" spans="1:4" s="1" customFormat="1" ht="19.75" customHeight="1" x14ac:dyDescent="0.25">
      <c r="A1465" s="8">
        <f>2009</f>
        <v>2009</v>
      </c>
      <c r="B1465" s="3" t="s">
        <v>2</v>
      </c>
      <c r="C1465" s="6">
        <v>4291.5573000000004</v>
      </c>
      <c r="D1465" s="7">
        <v>4791.5779000000002</v>
      </c>
    </row>
    <row r="1466" spans="1:4" s="1" customFormat="1" ht="19.75" customHeight="1" x14ac:dyDescent="0.25">
      <c r="A1466" s="8">
        <f>2009</f>
        <v>2009</v>
      </c>
      <c r="B1466" s="3" t="s">
        <v>3</v>
      </c>
      <c r="C1466" s="4">
        <v>17119.053500000002</v>
      </c>
      <c r="D1466" s="5">
        <v>19430.266599999999</v>
      </c>
    </row>
    <row r="1467" spans="1:4" s="1" customFormat="1" ht="19.75" customHeight="1" x14ac:dyDescent="0.25">
      <c r="A1467" s="8">
        <f>2009</f>
        <v>2009</v>
      </c>
      <c r="B1467" s="3" t="s">
        <v>4</v>
      </c>
      <c r="C1467" s="6">
        <v>10455.1891</v>
      </c>
      <c r="D1467" s="7">
        <v>11525.1597</v>
      </c>
    </row>
    <row r="1468" spans="1:4" s="1" customFormat="1" ht="19.75" customHeight="1" x14ac:dyDescent="0.25">
      <c r="A1468" s="8">
        <f>2009</f>
        <v>2009</v>
      </c>
      <c r="B1468" s="3" t="s">
        <v>102</v>
      </c>
      <c r="C1468" s="4">
        <v>6067.3514999999998</v>
      </c>
      <c r="D1468" s="5">
        <v>7174.5662000000002</v>
      </c>
    </row>
    <row r="1469" spans="1:4" s="1" customFormat="1" ht="19.75" customHeight="1" x14ac:dyDescent="0.25">
      <c r="A1469" s="8">
        <f>2009</f>
        <v>2009</v>
      </c>
      <c r="B1469" s="3" t="s">
        <v>108</v>
      </c>
      <c r="C1469" s="6">
        <v>3447.4953</v>
      </c>
      <c r="D1469" s="7">
        <v>3877.6208000000001</v>
      </c>
    </row>
    <row r="1470" spans="1:4" s="1" customFormat="1" ht="19.75" customHeight="1" x14ac:dyDescent="0.25">
      <c r="A1470" s="8">
        <f>2009</f>
        <v>2009</v>
      </c>
      <c r="B1470" s="3" t="s">
        <v>21</v>
      </c>
      <c r="C1470" s="4">
        <v>11545.121800000001</v>
      </c>
      <c r="D1470" s="5">
        <v>13021.5509</v>
      </c>
    </row>
    <row r="1471" spans="1:4" s="1" customFormat="1" ht="19.75" customHeight="1" x14ac:dyDescent="0.25">
      <c r="A1471" s="8">
        <f>2009</f>
        <v>2009</v>
      </c>
      <c r="B1471" s="3" t="s">
        <v>5</v>
      </c>
      <c r="C1471" s="6">
        <v>6830.3298999999997</v>
      </c>
      <c r="D1471" s="7">
        <v>7865.7745999999997</v>
      </c>
    </row>
    <row r="1472" spans="1:4" s="1" customFormat="1" ht="19.75" customHeight="1" x14ac:dyDescent="0.25">
      <c r="A1472" s="8">
        <f>2009</f>
        <v>2009</v>
      </c>
      <c r="B1472" s="3" t="s">
        <v>6</v>
      </c>
      <c r="C1472" s="4">
        <v>9641.4032999999999</v>
      </c>
      <c r="D1472" s="5">
        <v>11237.2341</v>
      </c>
    </row>
    <row r="1473" spans="1:4" s="1" customFormat="1" ht="19.75" customHeight="1" x14ac:dyDescent="0.25">
      <c r="A1473" s="8">
        <f>2009</f>
        <v>2009</v>
      </c>
      <c r="B1473" s="3" t="s">
        <v>103</v>
      </c>
      <c r="C1473" s="6">
        <v>8856.4716000000008</v>
      </c>
      <c r="D1473" s="7">
        <v>9927.7927</v>
      </c>
    </row>
    <row r="1474" spans="1:4" s="1" customFormat="1" ht="19.75" customHeight="1" x14ac:dyDescent="0.25">
      <c r="A1474" s="8">
        <f>2009</f>
        <v>2009</v>
      </c>
      <c r="B1474" s="3" t="s">
        <v>7</v>
      </c>
      <c r="C1474" s="4">
        <v>3247.1657</v>
      </c>
      <c r="D1474" s="5">
        <v>3654.8607000000002</v>
      </c>
    </row>
    <row r="1475" spans="1:4" s="1" customFormat="1" ht="19.75" customHeight="1" x14ac:dyDescent="0.25">
      <c r="A1475" s="8">
        <f>2009</f>
        <v>2009</v>
      </c>
      <c r="B1475" s="3" t="s">
        <v>8</v>
      </c>
      <c r="C1475" s="6">
        <v>19127.216799999998</v>
      </c>
      <c r="D1475" s="7">
        <v>22191.902600000001</v>
      </c>
    </row>
    <row r="1476" spans="1:4" s="1" customFormat="1" ht="19.75" customHeight="1" x14ac:dyDescent="0.25">
      <c r="A1476" s="8">
        <f>2009</f>
        <v>2009</v>
      </c>
      <c r="B1476" s="3" t="s">
        <v>104</v>
      </c>
      <c r="C1476" s="4">
        <v>9525.3507000000009</v>
      </c>
      <c r="D1476" s="5">
        <v>10440.0113</v>
      </c>
    </row>
    <row r="1477" spans="1:4" s="1" customFormat="1" ht="19.75" customHeight="1" x14ac:dyDescent="0.25">
      <c r="A1477" s="8">
        <f>2009</f>
        <v>2009</v>
      </c>
      <c r="B1477" s="3" t="s">
        <v>10</v>
      </c>
      <c r="C1477" s="6">
        <v>8121.3818000000001</v>
      </c>
      <c r="D1477" s="7">
        <v>9141.2764000000006</v>
      </c>
    </row>
    <row r="1478" spans="1:4" s="1" customFormat="1" ht="19.75" customHeight="1" x14ac:dyDescent="0.25">
      <c r="A1478" s="8">
        <f>2009</f>
        <v>2009</v>
      </c>
      <c r="B1478" s="3" t="s">
        <v>11</v>
      </c>
      <c r="C1478" s="4">
        <v>11889.378699999999</v>
      </c>
      <c r="D1478" s="5">
        <v>13371.9301</v>
      </c>
    </row>
    <row r="1479" spans="1:4" s="1" customFormat="1" ht="19.75" customHeight="1" x14ac:dyDescent="0.25">
      <c r="A1479" s="8">
        <f>2009</f>
        <v>2009</v>
      </c>
      <c r="B1479" s="3" t="s">
        <v>105</v>
      </c>
      <c r="C1479" s="6">
        <v>4311.8671000000004</v>
      </c>
      <c r="D1479" s="7">
        <v>4802.7254000000003</v>
      </c>
    </row>
    <row r="1480" spans="1:4" s="1" customFormat="1" ht="19.75" customHeight="1" x14ac:dyDescent="0.25">
      <c r="A1480" s="8">
        <f>2009</f>
        <v>2009</v>
      </c>
      <c r="B1480" s="3" t="s">
        <v>109</v>
      </c>
      <c r="C1480" s="4">
        <v>5237.8252000000002</v>
      </c>
      <c r="D1480" s="5">
        <v>5936.6355000000003</v>
      </c>
    </row>
    <row r="1481" spans="1:4" s="1" customFormat="1" ht="19.75" customHeight="1" x14ac:dyDescent="0.25">
      <c r="A1481" s="8">
        <f>2009</f>
        <v>2009</v>
      </c>
      <c r="B1481" s="3" t="s">
        <v>12</v>
      </c>
      <c r="C1481" s="6">
        <v>10835.4856</v>
      </c>
      <c r="D1481" s="7">
        <v>13732.3637</v>
      </c>
    </row>
    <row r="1482" spans="1:4" s="1" customFormat="1" ht="19.75" customHeight="1" x14ac:dyDescent="0.25">
      <c r="A1482" s="8">
        <f>2009</f>
        <v>2009</v>
      </c>
      <c r="B1482" s="3" t="s">
        <v>124</v>
      </c>
      <c r="C1482" s="4">
        <v>1375.8396</v>
      </c>
      <c r="D1482" s="5">
        <v>1507.2291</v>
      </c>
    </row>
    <row r="1483" spans="1:4" s="1" customFormat="1" ht="19.75" customHeight="1" x14ac:dyDescent="0.25">
      <c r="A1483" s="8">
        <f>2009</f>
        <v>2009</v>
      </c>
      <c r="B1483" s="3" t="s">
        <v>14</v>
      </c>
      <c r="C1483" s="6">
        <v>804.40120000000002</v>
      </c>
      <c r="D1483" s="7">
        <v>928.08349999999996</v>
      </c>
    </row>
    <row r="1484" spans="1:4" s="1" customFormat="1" ht="19.75" customHeight="1" x14ac:dyDescent="0.25">
      <c r="A1484" s="8">
        <f>2009</f>
        <v>2009</v>
      </c>
      <c r="B1484" s="3" t="s">
        <v>15</v>
      </c>
      <c r="C1484" s="4">
        <v>556.61800000000005</v>
      </c>
      <c r="D1484" s="5">
        <v>656.19460000000004</v>
      </c>
    </row>
    <row r="1485" spans="1:4" s="1" customFormat="1" ht="19.75" customHeight="1" x14ac:dyDescent="0.25">
      <c r="A1485" s="8">
        <f>2009</f>
        <v>2009</v>
      </c>
      <c r="B1485" s="3" t="s">
        <v>16</v>
      </c>
      <c r="C1485" s="6">
        <v>645.20519999999999</v>
      </c>
      <c r="D1485" s="7">
        <v>765.26890000000003</v>
      </c>
    </row>
    <row r="1486" spans="1:4" s="1" customFormat="1" ht="19.75" customHeight="1" x14ac:dyDescent="0.25">
      <c r="A1486" s="8">
        <f>2009</f>
        <v>2009</v>
      </c>
      <c r="B1486" s="3" t="s">
        <v>17</v>
      </c>
      <c r="C1486" s="4">
        <v>408.41500000000002</v>
      </c>
      <c r="D1486" s="5">
        <v>487.77440000000001</v>
      </c>
    </row>
    <row r="1487" spans="1:4" s="1" customFormat="1" ht="19.75" customHeight="1" x14ac:dyDescent="0.25">
      <c r="A1487" s="8">
        <f>2009</f>
        <v>2009</v>
      </c>
      <c r="B1487" s="3" t="s">
        <v>18</v>
      </c>
      <c r="C1487" s="6">
        <v>3315.3762000000002</v>
      </c>
      <c r="D1487" s="7">
        <v>3831.1514999999999</v>
      </c>
    </row>
    <row r="1488" spans="1:4" s="1" customFormat="1" ht="19.75" customHeight="1" x14ac:dyDescent="0.25">
      <c r="A1488" s="8">
        <f>2009</f>
        <v>2009</v>
      </c>
      <c r="B1488" s="3" t="s">
        <v>19</v>
      </c>
      <c r="C1488" s="4">
        <v>16332.2611</v>
      </c>
      <c r="D1488" s="5">
        <v>19622.864600000001</v>
      </c>
    </row>
    <row r="1489" spans="1:4" s="1" customFormat="1" ht="19.75" customHeight="1" x14ac:dyDescent="0.25">
      <c r="A1489" s="8">
        <f>2009</f>
        <v>2009</v>
      </c>
      <c r="B1489" s="3" t="s">
        <v>20</v>
      </c>
      <c r="C1489" s="6">
        <v>31092.5484</v>
      </c>
      <c r="D1489" s="7">
        <v>38696.275500000003</v>
      </c>
    </row>
    <row r="1490" spans="1:4" s="1" customFormat="1" ht="19.75" customHeight="1" x14ac:dyDescent="0.25">
      <c r="A1490" s="8">
        <f>2009</f>
        <v>2009</v>
      </c>
      <c r="B1490" s="3" t="s">
        <v>23</v>
      </c>
      <c r="C1490" s="4">
        <v>2309.4744000000001</v>
      </c>
      <c r="D1490" s="5">
        <v>2765.7278999999999</v>
      </c>
    </row>
    <row r="1491" spans="1:4" s="1" customFormat="1" ht="19.75" customHeight="1" x14ac:dyDescent="0.25">
      <c r="A1491" s="8">
        <f>2009</f>
        <v>2009</v>
      </c>
      <c r="B1491" s="3" t="s">
        <v>120</v>
      </c>
      <c r="C1491" s="6">
        <v>2239.8897999999999</v>
      </c>
      <c r="D1491" s="7">
        <v>2787.5554999999999</v>
      </c>
    </row>
    <row r="1492" spans="1:4" s="1" customFormat="1" ht="19.75" customHeight="1" x14ac:dyDescent="0.25">
      <c r="A1492" s="8">
        <f>2009</f>
        <v>2009</v>
      </c>
      <c r="B1492" s="3" t="s">
        <v>24</v>
      </c>
      <c r="C1492" s="4">
        <v>2971.6970999999999</v>
      </c>
      <c r="D1492" s="5">
        <v>3233.1736000000001</v>
      </c>
    </row>
    <row r="1493" spans="1:4" s="1" customFormat="1" ht="19.75" customHeight="1" x14ac:dyDescent="0.25">
      <c r="A1493" s="8">
        <f>2009</f>
        <v>2009</v>
      </c>
      <c r="B1493" s="3" t="s">
        <v>25</v>
      </c>
      <c r="C1493" s="6">
        <v>1948.7583</v>
      </c>
      <c r="D1493" s="7">
        <v>2270.5513999999998</v>
      </c>
    </row>
    <row r="1494" spans="1:4" s="1" customFormat="1" ht="19.75" customHeight="1" x14ac:dyDescent="0.25">
      <c r="A1494" s="8">
        <f>2009</f>
        <v>2009</v>
      </c>
      <c r="B1494" s="3" t="s">
        <v>26</v>
      </c>
      <c r="C1494" s="4">
        <v>1446.0894000000001</v>
      </c>
      <c r="D1494" s="5">
        <v>1711.2986000000001</v>
      </c>
    </row>
    <row r="1495" spans="1:4" s="1" customFormat="1" ht="19.75" customHeight="1" x14ac:dyDescent="0.25">
      <c r="A1495" s="8">
        <f>2009</f>
        <v>2009</v>
      </c>
      <c r="B1495" s="3" t="s">
        <v>27</v>
      </c>
      <c r="C1495" s="6">
        <v>3065.1439999999998</v>
      </c>
      <c r="D1495" s="7">
        <v>3338.7741000000001</v>
      </c>
    </row>
    <row r="1496" spans="1:4" s="1" customFormat="1" ht="19.75" customHeight="1" x14ac:dyDescent="0.25">
      <c r="A1496" s="8">
        <f>2009</f>
        <v>2009</v>
      </c>
      <c r="B1496" s="3" t="s">
        <v>106</v>
      </c>
      <c r="C1496" s="4">
        <v>657.61109999999996</v>
      </c>
      <c r="D1496" s="5">
        <v>764.60040000000004</v>
      </c>
    </row>
    <row r="1497" spans="1:4" s="1" customFormat="1" ht="19.75" customHeight="1" x14ac:dyDescent="0.25">
      <c r="A1497" s="8">
        <f>2009</f>
        <v>2009</v>
      </c>
      <c r="B1497" s="3" t="s">
        <v>28</v>
      </c>
      <c r="C1497" s="6">
        <v>209.10910000000001</v>
      </c>
      <c r="D1497" s="7">
        <v>219.48830000000001</v>
      </c>
    </row>
    <row r="1498" spans="1:4" s="1" customFormat="1" ht="19.75" customHeight="1" x14ac:dyDescent="0.25">
      <c r="A1498" s="8">
        <f>2009</f>
        <v>2009</v>
      </c>
      <c r="B1498" s="3" t="s">
        <v>29</v>
      </c>
      <c r="C1498" s="4">
        <v>137.87190000000001</v>
      </c>
      <c r="D1498" s="5">
        <v>153.53219999999999</v>
      </c>
    </row>
    <row r="1499" spans="1:4" s="1" customFormat="1" ht="19.75" customHeight="1" x14ac:dyDescent="0.25">
      <c r="A1499" s="8">
        <f>2009</f>
        <v>2009</v>
      </c>
      <c r="B1499" s="3" t="s">
        <v>122</v>
      </c>
      <c r="C1499" s="6">
        <v>54.064599999999999</v>
      </c>
      <c r="D1499" s="7">
        <v>57.142200000000003</v>
      </c>
    </row>
    <row r="1500" spans="1:4" s="1" customFormat="1" ht="19.75" customHeight="1" x14ac:dyDescent="0.25">
      <c r="A1500" s="8">
        <f>2009</f>
        <v>2009</v>
      </c>
      <c r="B1500" s="3" t="s">
        <v>30</v>
      </c>
      <c r="C1500" s="4">
        <v>1686.9219000000001</v>
      </c>
      <c r="D1500" s="5">
        <v>1851.1936000000001</v>
      </c>
    </row>
    <row r="1501" spans="1:4" s="1" customFormat="1" ht="19.75" customHeight="1" x14ac:dyDescent="0.25">
      <c r="A1501" s="8">
        <f>2009</f>
        <v>2009</v>
      </c>
      <c r="B1501" s="3" t="s">
        <v>31</v>
      </c>
      <c r="C1501" s="6">
        <v>977.14570000000003</v>
      </c>
      <c r="D1501" s="7">
        <v>1112.9894999999999</v>
      </c>
    </row>
    <row r="1502" spans="1:4" s="1" customFormat="1" ht="19.75" customHeight="1" x14ac:dyDescent="0.25">
      <c r="A1502" s="8">
        <f>2009</f>
        <v>2009</v>
      </c>
      <c r="B1502" s="3" t="s">
        <v>32</v>
      </c>
      <c r="C1502" s="4">
        <v>2001.4348</v>
      </c>
      <c r="D1502" s="5">
        <v>2438.3357000000001</v>
      </c>
    </row>
    <row r="1503" spans="1:4" s="1" customFormat="1" ht="19.75" customHeight="1" x14ac:dyDescent="0.25">
      <c r="A1503" s="8">
        <f>2009</f>
        <v>2009</v>
      </c>
      <c r="B1503" s="3" t="s">
        <v>92</v>
      </c>
      <c r="C1503" s="6">
        <v>4.5462999999999996</v>
      </c>
      <c r="D1503" s="7">
        <v>12.1441</v>
      </c>
    </row>
    <row r="1504" spans="1:4" s="1" customFormat="1" ht="19.75" customHeight="1" x14ac:dyDescent="0.25">
      <c r="A1504" s="8">
        <f>2009</f>
        <v>2009</v>
      </c>
      <c r="B1504" s="3" t="s">
        <v>97</v>
      </c>
      <c r="C1504" s="4">
        <v>47.7986</v>
      </c>
      <c r="D1504" s="5">
        <v>53.119799999999998</v>
      </c>
    </row>
    <row r="1505" spans="1:4" s="1" customFormat="1" ht="19.75" customHeight="1" x14ac:dyDescent="0.25">
      <c r="A1505" s="8">
        <f>2009</f>
        <v>2009</v>
      </c>
      <c r="B1505" s="3" t="s">
        <v>34</v>
      </c>
      <c r="C1505" s="6">
        <v>77.381200000000007</v>
      </c>
      <c r="D1505" s="7">
        <v>412.17540000000002</v>
      </c>
    </row>
    <row r="1506" spans="1:4" s="1" customFormat="1" ht="19.75" customHeight="1" x14ac:dyDescent="0.25">
      <c r="A1506" s="8">
        <f>2009</f>
        <v>2009</v>
      </c>
      <c r="B1506" s="3" t="s">
        <v>36</v>
      </c>
      <c r="C1506" s="4">
        <v>606.90710000000001</v>
      </c>
      <c r="D1506" s="5">
        <v>1000.2342</v>
      </c>
    </row>
    <row r="1507" spans="1:4" s="1" customFormat="1" ht="19.75" customHeight="1" x14ac:dyDescent="0.25">
      <c r="A1507" s="8">
        <f>2009</f>
        <v>2009</v>
      </c>
      <c r="B1507" s="3" t="s">
        <v>37</v>
      </c>
      <c r="C1507" s="6">
        <v>48.5625</v>
      </c>
      <c r="D1507" s="7">
        <v>63.407200000000003</v>
      </c>
    </row>
    <row r="1508" spans="1:4" s="1" customFormat="1" ht="19.75" customHeight="1" x14ac:dyDescent="0.25">
      <c r="A1508" s="8">
        <f>2009</f>
        <v>2009</v>
      </c>
      <c r="B1508" s="3" t="s">
        <v>38</v>
      </c>
      <c r="C1508" s="4">
        <v>13.801600000000001</v>
      </c>
      <c r="D1508" s="5">
        <v>29.189599999999999</v>
      </c>
    </row>
    <row r="1509" spans="1:4" s="1" customFormat="1" ht="19.75" customHeight="1" x14ac:dyDescent="0.25">
      <c r="A1509" s="8">
        <f>2009</f>
        <v>2009</v>
      </c>
      <c r="B1509" s="3" t="s">
        <v>40</v>
      </c>
      <c r="C1509" s="6">
        <v>545.25059999999996</v>
      </c>
      <c r="D1509" s="7">
        <v>716.65660000000003</v>
      </c>
    </row>
    <row r="1510" spans="1:4" s="1" customFormat="1" ht="19.75" customHeight="1" x14ac:dyDescent="0.25">
      <c r="A1510" s="8">
        <f>2009</f>
        <v>2009</v>
      </c>
      <c r="B1510" s="3" t="s">
        <v>41</v>
      </c>
      <c r="C1510" s="4">
        <v>2036.5365999999999</v>
      </c>
      <c r="D1510" s="5">
        <v>2625.7401</v>
      </c>
    </row>
    <row r="1511" spans="1:4" s="1" customFormat="1" ht="19.75" customHeight="1" x14ac:dyDescent="0.25">
      <c r="A1511" s="8">
        <f>2009</f>
        <v>2009</v>
      </c>
      <c r="B1511" s="3" t="s">
        <v>42</v>
      </c>
      <c r="C1511" s="6">
        <v>636.58429999999998</v>
      </c>
      <c r="D1511" s="7">
        <v>879.75990000000002</v>
      </c>
    </row>
    <row r="1512" spans="1:4" s="1" customFormat="1" ht="19.75" customHeight="1" x14ac:dyDescent="0.25">
      <c r="A1512" s="8">
        <f>2009</f>
        <v>2009</v>
      </c>
      <c r="B1512" s="3" t="s">
        <v>43</v>
      </c>
      <c r="C1512" s="4">
        <v>6840.2376999999997</v>
      </c>
      <c r="D1512" s="5">
        <v>10422.540499999999</v>
      </c>
    </row>
    <row r="1513" spans="1:4" s="1" customFormat="1" ht="19.75" customHeight="1" x14ac:dyDescent="0.25">
      <c r="A1513" s="8">
        <f>2009</f>
        <v>2009</v>
      </c>
      <c r="B1513" s="3" t="s">
        <v>45</v>
      </c>
      <c r="C1513" s="6">
        <v>346.5951</v>
      </c>
      <c r="D1513" s="7">
        <v>601.52200000000005</v>
      </c>
    </row>
    <row r="1514" spans="1:4" s="1" customFormat="1" ht="19.75" customHeight="1" x14ac:dyDescent="0.25">
      <c r="A1514" s="8">
        <f>2009</f>
        <v>2009</v>
      </c>
      <c r="B1514" s="3" t="s">
        <v>46</v>
      </c>
      <c r="C1514" s="4">
        <v>18.588699999999999</v>
      </c>
      <c r="D1514" s="5">
        <v>21.6281</v>
      </c>
    </row>
    <row r="1515" spans="1:4" s="1" customFormat="1" ht="19.75" customHeight="1" x14ac:dyDescent="0.25">
      <c r="A1515" s="8">
        <f>2009</f>
        <v>2009</v>
      </c>
      <c r="B1515" s="3" t="s">
        <v>47</v>
      </c>
      <c r="C1515" s="6">
        <v>808.64020000000005</v>
      </c>
      <c r="D1515" s="7">
        <v>1110.8362999999999</v>
      </c>
    </row>
    <row r="1516" spans="1:4" s="1" customFormat="1" ht="19.75" customHeight="1" x14ac:dyDescent="0.25">
      <c r="A1516" s="8">
        <f>2009</f>
        <v>2009</v>
      </c>
      <c r="B1516" s="3" t="s">
        <v>48</v>
      </c>
      <c r="C1516" s="4">
        <v>1881.4419</v>
      </c>
      <c r="D1516" s="5">
        <v>2901.1275000000001</v>
      </c>
    </row>
    <row r="1517" spans="1:4" s="1" customFormat="1" ht="19.75" customHeight="1" x14ac:dyDescent="0.25">
      <c r="A1517" s="8">
        <f>2009</f>
        <v>2009</v>
      </c>
      <c r="B1517" s="3" t="s">
        <v>98</v>
      </c>
      <c r="C1517" s="6">
        <v>6326.9285</v>
      </c>
      <c r="D1517" s="7">
        <v>9026.3503000000001</v>
      </c>
    </row>
    <row r="1518" spans="1:4" s="1" customFormat="1" ht="19.75" customHeight="1" x14ac:dyDescent="0.25">
      <c r="A1518" s="8">
        <f>2009</f>
        <v>2009</v>
      </c>
      <c r="B1518" s="3" t="s">
        <v>121</v>
      </c>
      <c r="C1518" s="4">
        <v>14.518700000000001</v>
      </c>
      <c r="D1518" s="5">
        <v>17.073599999999999</v>
      </c>
    </row>
    <row r="1519" spans="1:4" s="1" customFormat="1" ht="19.75" customHeight="1" x14ac:dyDescent="0.25">
      <c r="A1519" s="8">
        <f>2009</f>
        <v>2009</v>
      </c>
      <c r="B1519" s="3" t="s">
        <v>55</v>
      </c>
      <c r="C1519" s="6">
        <v>513.20100000000002</v>
      </c>
      <c r="D1519" s="7">
        <v>1234.1362999999999</v>
      </c>
    </row>
    <row r="1520" spans="1:4" s="1" customFormat="1" ht="19.75" customHeight="1" x14ac:dyDescent="0.25">
      <c r="A1520" s="8">
        <f>2009</f>
        <v>2009</v>
      </c>
      <c r="B1520" s="3" t="s">
        <v>56</v>
      </c>
      <c r="C1520" s="4">
        <v>6.8311999999999999</v>
      </c>
      <c r="D1520" s="5">
        <v>6.9682000000000004</v>
      </c>
    </row>
    <row r="1521" spans="1:4" s="1" customFormat="1" ht="19.75" customHeight="1" x14ac:dyDescent="0.25">
      <c r="A1521" s="8">
        <f>2009</f>
        <v>2009</v>
      </c>
      <c r="B1521" s="3" t="s">
        <v>119</v>
      </c>
      <c r="C1521" s="6">
        <v>48.365400000000001</v>
      </c>
      <c r="D1521" s="7">
        <v>61.737900000000003</v>
      </c>
    </row>
    <row r="1522" spans="1:4" s="1" customFormat="1" ht="19.75" customHeight="1" x14ac:dyDescent="0.25">
      <c r="A1522" s="8">
        <f>2009</f>
        <v>2009</v>
      </c>
      <c r="B1522" s="3" t="s">
        <v>94</v>
      </c>
      <c r="C1522" s="4">
        <v>10.281700000000001</v>
      </c>
      <c r="D1522" s="5">
        <v>11.2216</v>
      </c>
    </row>
    <row r="1523" spans="1:4" s="1" customFormat="1" ht="19.75" customHeight="1" x14ac:dyDescent="0.25">
      <c r="A1523" s="8">
        <f>2009</f>
        <v>2009</v>
      </c>
      <c r="B1523" s="3" t="s">
        <v>59</v>
      </c>
      <c r="C1523" s="6">
        <v>5.3277000000000001</v>
      </c>
      <c r="D1523" s="7">
        <v>15.6813</v>
      </c>
    </row>
    <row r="1524" spans="1:4" s="1" customFormat="1" ht="19.75" customHeight="1" x14ac:dyDescent="0.25">
      <c r="A1524" s="8">
        <f>2009</f>
        <v>2009</v>
      </c>
      <c r="B1524" s="3" t="s">
        <v>60</v>
      </c>
      <c r="C1524" s="4">
        <v>129.03960000000001</v>
      </c>
      <c r="D1524" s="5">
        <v>167.17019999999999</v>
      </c>
    </row>
    <row r="1525" spans="1:4" s="1" customFormat="1" ht="19.75" customHeight="1" x14ac:dyDescent="0.25">
      <c r="A1525" s="8">
        <f>2009</f>
        <v>2009</v>
      </c>
      <c r="B1525" s="3" t="s">
        <v>61</v>
      </c>
      <c r="C1525" s="6">
        <v>315.37099999999998</v>
      </c>
      <c r="D1525" s="7">
        <v>378.07900000000001</v>
      </c>
    </row>
    <row r="1526" spans="1:4" s="1" customFormat="1" ht="19.75" customHeight="1" x14ac:dyDescent="0.25">
      <c r="A1526" s="8">
        <f>2009</f>
        <v>2009</v>
      </c>
      <c r="B1526" s="3" t="s">
        <v>64</v>
      </c>
      <c r="C1526" s="4">
        <v>0.23780000000000001</v>
      </c>
      <c r="D1526" s="5">
        <v>1.4212</v>
      </c>
    </row>
    <row r="1527" spans="1:4" s="1" customFormat="1" ht="19.75" customHeight="1" x14ac:dyDescent="0.25">
      <c r="A1527" s="8">
        <f>2009</f>
        <v>2009</v>
      </c>
      <c r="B1527" s="3" t="s">
        <v>67</v>
      </c>
      <c r="C1527" s="6">
        <v>44.52</v>
      </c>
      <c r="D1527" s="7">
        <v>47.592599999999997</v>
      </c>
    </row>
    <row r="1528" spans="1:4" s="1" customFormat="1" ht="19.75" customHeight="1" x14ac:dyDescent="0.25">
      <c r="A1528" s="8">
        <f>2009</f>
        <v>2009</v>
      </c>
      <c r="B1528" s="3" t="s">
        <v>68</v>
      </c>
      <c r="C1528" s="4">
        <v>63.865299999999998</v>
      </c>
      <c r="D1528" s="5">
        <v>72.247900000000001</v>
      </c>
    </row>
    <row r="1529" spans="1:4" s="1" customFormat="1" ht="19.75" customHeight="1" x14ac:dyDescent="0.25">
      <c r="A1529" s="8">
        <f>2009</f>
        <v>2009</v>
      </c>
      <c r="B1529" s="3" t="s">
        <v>69</v>
      </c>
      <c r="C1529" s="6">
        <v>152.66820000000001</v>
      </c>
      <c r="D1529" s="7">
        <v>221.4522</v>
      </c>
    </row>
    <row r="1530" spans="1:4" s="1" customFormat="1" ht="19.75" customHeight="1" x14ac:dyDescent="0.25">
      <c r="A1530" s="8">
        <f>2009</f>
        <v>2009</v>
      </c>
      <c r="B1530" s="3" t="s">
        <v>95</v>
      </c>
      <c r="C1530" s="4">
        <v>1.3722000000000001</v>
      </c>
      <c r="D1530" s="5">
        <v>6.0014000000000003</v>
      </c>
    </row>
    <row r="1531" spans="1:4" s="1" customFormat="1" ht="19.75" customHeight="1" x14ac:dyDescent="0.25">
      <c r="A1531" s="8">
        <f>2009</f>
        <v>2009</v>
      </c>
      <c r="B1531" s="3" t="s">
        <v>71</v>
      </c>
      <c r="C1531" s="6">
        <v>5649.4089000000004</v>
      </c>
      <c r="D1531" s="7">
        <v>8746.4591</v>
      </c>
    </row>
    <row r="1532" spans="1:4" s="1" customFormat="1" ht="19.75" customHeight="1" x14ac:dyDescent="0.25">
      <c r="A1532" s="8">
        <f>2009</f>
        <v>2009</v>
      </c>
      <c r="B1532" s="3" t="s">
        <v>125</v>
      </c>
      <c r="C1532" s="4">
        <v>3119.6727999999998</v>
      </c>
      <c r="D1532" s="5">
        <v>4344.7826999999997</v>
      </c>
    </row>
    <row r="1533" spans="1:4" s="1" customFormat="1" ht="19.75" customHeight="1" x14ac:dyDescent="0.25">
      <c r="A1533" s="8">
        <f>2009</f>
        <v>2009</v>
      </c>
      <c r="B1533" s="3" t="s">
        <v>74</v>
      </c>
      <c r="C1533" s="6">
        <v>7.5549999999999997</v>
      </c>
      <c r="D1533" s="7">
        <v>7.5551000000000004</v>
      </c>
    </row>
    <row r="1534" spans="1:4" s="1" customFormat="1" ht="19.75" customHeight="1" x14ac:dyDescent="0.25">
      <c r="A1534" s="8">
        <f>2008</f>
        <v>2008</v>
      </c>
      <c r="B1534" s="3" t="s">
        <v>112</v>
      </c>
      <c r="C1534" s="4">
        <v>3052.0237000000002</v>
      </c>
      <c r="D1534" s="5">
        <v>3523.6828</v>
      </c>
    </row>
    <row r="1535" spans="1:4" s="1" customFormat="1" ht="19.75" customHeight="1" x14ac:dyDescent="0.25">
      <c r="A1535" s="8">
        <f>2008</f>
        <v>2008</v>
      </c>
      <c r="B1535" s="3" t="s">
        <v>113</v>
      </c>
      <c r="C1535" s="6">
        <v>4403.1517999999996</v>
      </c>
      <c r="D1535" s="7">
        <v>5080.2964000000002</v>
      </c>
    </row>
    <row r="1536" spans="1:4" s="1" customFormat="1" ht="19.75" customHeight="1" x14ac:dyDescent="0.25">
      <c r="A1536" s="8">
        <f>2008</f>
        <v>2008</v>
      </c>
      <c r="B1536" s="3" t="s">
        <v>9</v>
      </c>
      <c r="C1536" s="4">
        <v>48950.307099999998</v>
      </c>
      <c r="D1536" s="5">
        <v>57645.235500000003</v>
      </c>
    </row>
    <row r="1537" spans="1:4" s="1" customFormat="1" ht="19.75" customHeight="1" x14ac:dyDescent="0.25">
      <c r="A1537" s="8">
        <f>2008</f>
        <v>2008</v>
      </c>
      <c r="B1537" s="3" t="s">
        <v>123</v>
      </c>
      <c r="C1537" s="6">
        <v>2225.6327000000001</v>
      </c>
      <c r="D1537" s="7">
        <v>2536.1632</v>
      </c>
    </row>
    <row r="1538" spans="1:4" s="1" customFormat="1" ht="19.75" customHeight="1" x14ac:dyDescent="0.25">
      <c r="A1538" s="8">
        <f>2008</f>
        <v>2008</v>
      </c>
      <c r="B1538" s="3" t="s">
        <v>114</v>
      </c>
      <c r="C1538" s="4">
        <v>2494.3951999999999</v>
      </c>
      <c r="D1538" s="5">
        <v>2916.5277999999998</v>
      </c>
    </row>
    <row r="1539" spans="1:4" s="1" customFormat="1" ht="19.75" customHeight="1" x14ac:dyDescent="0.25">
      <c r="A1539" s="8">
        <f>2008</f>
        <v>2008</v>
      </c>
      <c r="B1539" s="3" t="s">
        <v>115</v>
      </c>
      <c r="C1539" s="6">
        <v>4310.1792999999998</v>
      </c>
      <c r="D1539" s="7">
        <v>4905.9386000000004</v>
      </c>
    </row>
    <row r="1540" spans="1:4" s="1" customFormat="1" ht="19.75" customHeight="1" x14ac:dyDescent="0.25">
      <c r="A1540" s="8">
        <f>2008</f>
        <v>2008</v>
      </c>
      <c r="B1540" s="3" t="s">
        <v>126</v>
      </c>
      <c r="C1540" s="4">
        <v>1557.9087999999999</v>
      </c>
      <c r="D1540" s="5">
        <v>1764.7457999999999</v>
      </c>
    </row>
    <row r="1541" spans="1:4" s="1" customFormat="1" ht="19.75" customHeight="1" x14ac:dyDescent="0.25">
      <c r="A1541" s="8">
        <f>2008</f>
        <v>2008</v>
      </c>
      <c r="B1541" s="3" t="s">
        <v>116</v>
      </c>
      <c r="C1541" s="6">
        <v>3434.1064000000001</v>
      </c>
      <c r="D1541" s="7">
        <v>3872.8589000000002</v>
      </c>
    </row>
    <row r="1542" spans="1:4" s="1" customFormat="1" ht="19.75" customHeight="1" x14ac:dyDescent="0.25">
      <c r="A1542" s="8">
        <f>2008</f>
        <v>2008</v>
      </c>
      <c r="B1542" s="3" t="s">
        <v>100</v>
      </c>
      <c r="C1542" s="4">
        <v>6171.2159000000001</v>
      </c>
      <c r="D1542" s="5">
        <v>7135.9732000000004</v>
      </c>
    </row>
    <row r="1543" spans="1:4" s="1" customFormat="1" ht="19.75" customHeight="1" x14ac:dyDescent="0.25">
      <c r="A1543" s="8">
        <f>2008</f>
        <v>2008</v>
      </c>
      <c r="B1543" s="3" t="s">
        <v>101</v>
      </c>
      <c r="C1543" s="6">
        <v>4209.5643</v>
      </c>
      <c r="D1543" s="7">
        <v>4836.0297</v>
      </c>
    </row>
    <row r="1544" spans="1:4" s="1" customFormat="1" ht="19.75" customHeight="1" x14ac:dyDescent="0.25">
      <c r="A1544" s="8">
        <f>2008</f>
        <v>2008</v>
      </c>
      <c r="B1544" s="3" t="s">
        <v>0</v>
      </c>
      <c r="C1544" s="4">
        <v>11813.476699999999</v>
      </c>
      <c r="D1544" s="5">
        <v>13864.5128</v>
      </c>
    </row>
    <row r="1545" spans="1:4" s="1" customFormat="1" ht="19.75" customHeight="1" x14ac:dyDescent="0.25">
      <c r="A1545" s="8">
        <f>2008</f>
        <v>2008</v>
      </c>
      <c r="B1545" s="3" t="s">
        <v>1</v>
      </c>
      <c r="C1545" s="6">
        <v>12355.2212</v>
      </c>
      <c r="D1545" s="7">
        <v>14472.147300000001</v>
      </c>
    </row>
    <row r="1546" spans="1:4" s="1" customFormat="1" ht="19.75" customHeight="1" x14ac:dyDescent="0.25">
      <c r="A1546" s="8">
        <f>2008</f>
        <v>2008</v>
      </c>
      <c r="B1546" s="3" t="s">
        <v>2</v>
      </c>
      <c r="C1546" s="4">
        <v>3440.4704000000002</v>
      </c>
      <c r="D1546" s="5">
        <v>3820.7584000000002</v>
      </c>
    </row>
    <row r="1547" spans="1:4" s="1" customFormat="1" ht="19.75" customHeight="1" x14ac:dyDescent="0.25">
      <c r="A1547" s="8">
        <f>2008</f>
        <v>2008</v>
      </c>
      <c r="B1547" s="3" t="s">
        <v>3</v>
      </c>
      <c r="C1547" s="6">
        <v>14200.736999999999</v>
      </c>
      <c r="D1547" s="7">
        <v>16413.609400000001</v>
      </c>
    </row>
    <row r="1548" spans="1:4" s="1" customFormat="1" ht="19.75" customHeight="1" x14ac:dyDescent="0.25">
      <c r="A1548" s="8">
        <f>2008</f>
        <v>2008</v>
      </c>
      <c r="B1548" s="3" t="s">
        <v>4</v>
      </c>
      <c r="C1548" s="4">
        <v>7884.2633999999998</v>
      </c>
      <c r="D1548" s="5">
        <v>8786.6088999999993</v>
      </c>
    </row>
    <row r="1549" spans="1:4" s="1" customFormat="1" ht="19.75" customHeight="1" x14ac:dyDescent="0.25">
      <c r="A1549" s="8">
        <f>2008</f>
        <v>2008</v>
      </c>
      <c r="B1549" s="3" t="s">
        <v>102</v>
      </c>
      <c r="C1549" s="6">
        <v>4516.5547999999999</v>
      </c>
      <c r="D1549" s="7">
        <v>5216.3333000000002</v>
      </c>
    </row>
    <row r="1550" spans="1:4" s="1" customFormat="1" ht="19.75" customHeight="1" x14ac:dyDescent="0.25">
      <c r="A1550" s="8">
        <f>2008</f>
        <v>2008</v>
      </c>
      <c r="B1550" s="3" t="s">
        <v>108</v>
      </c>
      <c r="C1550" s="4">
        <v>2675.8959</v>
      </c>
      <c r="D1550" s="5">
        <v>3154.0246999999999</v>
      </c>
    </row>
    <row r="1551" spans="1:4" s="1" customFormat="1" ht="19.75" customHeight="1" x14ac:dyDescent="0.25">
      <c r="A1551" s="8">
        <f>2008</f>
        <v>2008</v>
      </c>
      <c r="B1551" s="3" t="s">
        <v>127</v>
      </c>
      <c r="C1551" s="6">
        <v>8040.8765999999996</v>
      </c>
      <c r="D1551" s="7">
        <v>9622.6509000000005</v>
      </c>
    </row>
    <row r="1552" spans="1:4" s="1" customFormat="1" ht="19.75" customHeight="1" x14ac:dyDescent="0.25">
      <c r="A1552" s="8">
        <f>2008</f>
        <v>2008</v>
      </c>
      <c r="B1552" s="3" t="s">
        <v>5</v>
      </c>
      <c r="C1552" s="4">
        <v>5212.9793</v>
      </c>
      <c r="D1552" s="5">
        <v>6218.6670999999997</v>
      </c>
    </row>
    <row r="1553" spans="1:4" s="1" customFormat="1" ht="19.75" customHeight="1" x14ac:dyDescent="0.25">
      <c r="A1553" s="8">
        <f>2008</f>
        <v>2008</v>
      </c>
      <c r="B1553" s="3" t="s">
        <v>6</v>
      </c>
      <c r="C1553" s="6">
        <v>7738.7650000000003</v>
      </c>
      <c r="D1553" s="7">
        <v>8775.8678999999993</v>
      </c>
    </row>
    <row r="1554" spans="1:4" s="1" customFormat="1" ht="19.75" customHeight="1" x14ac:dyDescent="0.25">
      <c r="A1554" s="8">
        <f>2008</f>
        <v>2008</v>
      </c>
      <c r="B1554" s="3" t="s">
        <v>103</v>
      </c>
      <c r="C1554" s="4">
        <v>6827.1885000000002</v>
      </c>
      <c r="D1554" s="5">
        <v>7454.8397999999997</v>
      </c>
    </row>
    <row r="1555" spans="1:4" s="1" customFormat="1" ht="19.75" customHeight="1" x14ac:dyDescent="0.25">
      <c r="A1555" s="8">
        <f>2008</f>
        <v>2008</v>
      </c>
      <c r="B1555" s="3" t="s">
        <v>7</v>
      </c>
      <c r="C1555" s="6">
        <v>2219.2855</v>
      </c>
      <c r="D1555" s="7">
        <v>2536.9286000000002</v>
      </c>
    </row>
    <row r="1556" spans="1:4" s="1" customFormat="1" ht="19.75" customHeight="1" x14ac:dyDescent="0.25">
      <c r="A1556" s="8">
        <f>2008</f>
        <v>2008</v>
      </c>
      <c r="B1556" s="3" t="s">
        <v>8</v>
      </c>
      <c r="C1556" s="4">
        <v>14265.017599999999</v>
      </c>
      <c r="D1556" s="5">
        <v>16262.5782</v>
      </c>
    </row>
    <row r="1557" spans="1:4" s="1" customFormat="1" ht="19.75" customHeight="1" x14ac:dyDescent="0.25">
      <c r="A1557" s="8">
        <f>2008</f>
        <v>2008</v>
      </c>
      <c r="B1557" s="3" t="s">
        <v>104</v>
      </c>
      <c r="C1557" s="6">
        <v>7906.3104999999996</v>
      </c>
      <c r="D1557" s="7">
        <v>8796.3649999999998</v>
      </c>
    </row>
    <row r="1558" spans="1:4" s="1" customFormat="1" ht="19.75" customHeight="1" x14ac:dyDescent="0.25">
      <c r="A1558" s="8">
        <f>2008</f>
        <v>2008</v>
      </c>
      <c r="B1558" s="3" t="s">
        <v>10</v>
      </c>
      <c r="C1558" s="4">
        <v>6508.5559000000003</v>
      </c>
      <c r="D1558" s="5">
        <v>7280.6854000000003</v>
      </c>
    </row>
    <row r="1559" spans="1:4" s="1" customFormat="1" ht="19.75" customHeight="1" x14ac:dyDescent="0.25">
      <c r="A1559" s="8">
        <f>2008</f>
        <v>2008</v>
      </c>
      <c r="B1559" s="3" t="s">
        <v>11</v>
      </c>
      <c r="C1559" s="6">
        <v>9214.6332999999995</v>
      </c>
      <c r="D1559" s="7">
        <v>10534.2709</v>
      </c>
    </row>
    <row r="1560" spans="1:4" s="1" customFormat="1" ht="19.75" customHeight="1" x14ac:dyDescent="0.25">
      <c r="A1560" s="8">
        <f>2008</f>
        <v>2008</v>
      </c>
      <c r="B1560" s="3" t="s">
        <v>105</v>
      </c>
      <c r="C1560" s="4">
        <v>3557.3042</v>
      </c>
      <c r="D1560" s="5">
        <v>4022.7918</v>
      </c>
    </row>
    <row r="1561" spans="1:4" s="1" customFormat="1" ht="19.75" customHeight="1" x14ac:dyDescent="0.25">
      <c r="A1561" s="8">
        <f>2008</f>
        <v>2008</v>
      </c>
      <c r="B1561" s="3" t="s">
        <v>109</v>
      </c>
      <c r="C1561" s="6">
        <v>3888.5410000000002</v>
      </c>
      <c r="D1561" s="7">
        <v>4420.5684000000001</v>
      </c>
    </row>
    <row r="1562" spans="1:4" s="1" customFormat="1" ht="19.75" customHeight="1" x14ac:dyDescent="0.25">
      <c r="A1562" s="8">
        <f>2008</f>
        <v>2008</v>
      </c>
      <c r="B1562" s="3" t="s">
        <v>12</v>
      </c>
      <c r="C1562" s="4">
        <v>7005.3150999999998</v>
      </c>
      <c r="D1562" s="5">
        <v>8800.8039000000008</v>
      </c>
    </row>
    <row r="1563" spans="1:4" s="1" customFormat="1" ht="19.75" customHeight="1" x14ac:dyDescent="0.25">
      <c r="A1563" s="8">
        <f>2008</f>
        <v>2008</v>
      </c>
      <c r="B1563" s="3" t="s">
        <v>124</v>
      </c>
      <c r="C1563" s="6">
        <v>1049.4399000000001</v>
      </c>
      <c r="D1563" s="7">
        <v>1176.4015999999999</v>
      </c>
    </row>
    <row r="1564" spans="1:4" s="1" customFormat="1" ht="19.75" customHeight="1" x14ac:dyDescent="0.25">
      <c r="A1564" s="8">
        <f>2008</f>
        <v>2008</v>
      </c>
      <c r="B1564" s="3" t="s">
        <v>128</v>
      </c>
      <c r="C1564" s="4">
        <v>2185.4699999999998</v>
      </c>
      <c r="D1564" s="5">
        <v>2822.76</v>
      </c>
    </row>
    <row r="1565" spans="1:4" s="1" customFormat="1" ht="19.75" customHeight="1" x14ac:dyDescent="0.25">
      <c r="A1565" s="8">
        <f>2008</f>
        <v>2008</v>
      </c>
      <c r="B1565" s="3" t="s">
        <v>14</v>
      </c>
      <c r="C1565" s="6">
        <v>595.96259999999995</v>
      </c>
      <c r="D1565" s="7">
        <v>686.24630000000002</v>
      </c>
    </row>
    <row r="1566" spans="1:4" s="1" customFormat="1" ht="19.75" customHeight="1" x14ac:dyDescent="0.25">
      <c r="A1566" s="8">
        <f>2008</f>
        <v>2008</v>
      </c>
      <c r="B1566" s="3" t="s">
        <v>15</v>
      </c>
      <c r="C1566" s="4">
        <v>481.26389999999998</v>
      </c>
      <c r="D1566" s="5">
        <v>541.7559</v>
      </c>
    </row>
    <row r="1567" spans="1:4" s="1" customFormat="1" ht="19.75" customHeight="1" x14ac:dyDescent="0.25">
      <c r="A1567" s="8">
        <f>2008</f>
        <v>2008</v>
      </c>
      <c r="B1567" s="3" t="s">
        <v>16</v>
      </c>
      <c r="C1567" s="6">
        <v>562.29960000000005</v>
      </c>
      <c r="D1567" s="7">
        <v>735.95550000000003</v>
      </c>
    </row>
    <row r="1568" spans="1:4" s="1" customFormat="1" ht="19.75" customHeight="1" x14ac:dyDescent="0.25">
      <c r="A1568" s="8">
        <f>2008</f>
        <v>2008</v>
      </c>
      <c r="B1568" s="3" t="s">
        <v>17</v>
      </c>
      <c r="C1568" s="4">
        <v>312.48450000000003</v>
      </c>
      <c r="D1568" s="5">
        <v>354.51740000000001</v>
      </c>
    </row>
    <row r="1569" spans="1:4" s="1" customFormat="1" ht="19.75" customHeight="1" x14ac:dyDescent="0.25">
      <c r="A1569" s="8">
        <f>2008</f>
        <v>2008</v>
      </c>
      <c r="B1569" s="3" t="s">
        <v>18</v>
      </c>
      <c r="C1569" s="6">
        <v>2515.4441999999999</v>
      </c>
      <c r="D1569" s="7">
        <v>2910.1626999999999</v>
      </c>
    </row>
    <row r="1570" spans="1:4" s="1" customFormat="1" ht="19.75" customHeight="1" x14ac:dyDescent="0.25">
      <c r="A1570" s="8">
        <f>2008</f>
        <v>2008</v>
      </c>
      <c r="B1570" s="3" t="s">
        <v>19</v>
      </c>
      <c r="C1570" s="4">
        <v>10115.0087</v>
      </c>
      <c r="D1570" s="5">
        <v>12398.1512</v>
      </c>
    </row>
    <row r="1571" spans="1:4" s="1" customFormat="1" ht="19.75" customHeight="1" x14ac:dyDescent="0.25">
      <c r="A1571" s="8">
        <f>2008</f>
        <v>2008</v>
      </c>
      <c r="B1571" s="3" t="s">
        <v>20</v>
      </c>
      <c r="C1571" s="6">
        <v>30788.3429</v>
      </c>
      <c r="D1571" s="7">
        <v>39599.1057</v>
      </c>
    </row>
    <row r="1572" spans="1:4" s="1" customFormat="1" ht="19.75" customHeight="1" x14ac:dyDescent="0.25">
      <c r="A1572" s="8">
        <f>2008</f>
        <v>2008</v>
      </c>
      <c r="B1572" s="3" t="s">
        <v>23</v>
      </c>
      <c r="C1572" s="4">
        <v>1880.6609000000001</v>
      </c>
      <c r="D1572" s="5">
        <v>2178.2386000000001</v>
      </c>
    </row>
    <row r="1573" spans="1:4" s="1" customFormat="1" ht="19.75" customHeight="1" x14ac:dyDescent="0.25">
      <c r="A1573" s="8">
        <f>2008</f>
        <v>2008</v>
      </c>
      <c r="B1573" s="3" t="s">
        <v>120</v>
      </c>
      <c r="C1573" s="6">
        <v>1680.4391000000001</v>
      </c>
      <c r="D1573" s="7">
        <v>2099.0050999999999</v>
      </c>
    </row>
    <row r="1574" spans="1:4" s="1" customFormat="1" ht="19.75" customHeight="1" x14ac:dyDescent="0.25">
      <c r="A1574" s="8">
        <f>2008</f>
        <v>2008</v>
      </c>
      <c r="B1574" s="3" t="s">
        <v>24</v>
      </c>
      <c r="C1574" s="4">
        <v>2434.2303999999999</v>
      </c>
      <c r="D1574" s="5">
        <v>2679.2437</v>
      </c>
    </row>
    <row r="1575" spans="1:4" s="1" customFormat="1" ht="19.75" customHeight="1" x14ac:dyDescent="0.25">
      <c r="A1575" s="8">
        <f>2008</f>
        <v>2008</v>
      </c>
      <c r="B1575" s="3" t="s">
        <v>25</v>
      </c>
      <c r="C1575" s="6">
        <v>1560.4621</v>
      </c>
      <c r="D1575" s="7">
        <v>1797.8976</v>
      </c>
    </row>
    <row r="1576" spans="1:4" s="1" customFormat="1" ht="19.75" customHeight="1" x14ac:dyDescent="0.25">
      <c r="A1576" s="8">
        <f>2008</f>
        <v>2008</v>
      </c>
      <c r="B1576" s="3" t="s">
        <v>26</v>
      </c>
      <c r="C1576" s="4">
        <v>1106.4019000000001</v>
      </c>
      <c r="D1576" s="5">
        <v>1289.3306</v>
      </c>
    </row>
    <row r="1577" spans="1:4" s="1" customFormat="1" ht="19.75" customHeight="1" x14ac:dyDescent="0.25">
      <c r="A1577" s="8">
        <f>2008</f>
        <v>2008</v>
      </c>
      <c r="B1577" s="3" t="s">
        <v>27</v>
      </c>
      <c r="C1577" s="6">
        <v>2535.3643000000002</v>
      </c>
      <c r="D1577" s="7">
        <v>2998.8276000000001</v>
      </c>
    </row>
    <row r="1578" spans="1:4" s="1" customFormat="1" ht="19.75" customHeight="1" x14ac:dyDescent="0.25">
      <c r="A1578" s="8">
        <f>2008</f>
        <v>2008</v>
      </c>
      <c r="B1578" s="3" t="s">
        <v>106</v>
      </c>
      <c r="C1578" s="4">
        <v>506.05759999999998</v>
      </c>
      <c r="D1578" s="5">
        <v>588.53510000000006</v>
      </c>
    </row>
    <row r="1579" spans="1:4" s="1" customFormat="1" ht="19.75" customHeight="1" x14ac:dyDescent="0.25">
      <c r="A1579" s="8">
        <f>2008</f>
        <v>2008</v>
      </c>
      <c r="B1579" s="3" t="s">
        <v>28</v>
      </c>
      <c r="C1579" s="6">
        <v>168.6857</v>
      </c>
      <c r="D1579" s="7">
        <v>176.22730000000001</v>
      </c>
    </row>
    <row r="1580" spans="1:4" s="1" customFormat="1" ht="19.75" customHeight="1" x14ac:dyDescent="0.25">
      <c r="A1580" s="8">
        <f>2008</f>
        <v>2008</v>
      </c>
      <c r="B1580" s="3" t="s">
        <v>29</v>
      </c>
      <c r="C1580" s="4">
        <v>107.2788</v>
      </c>
      <c r="D1580" s="5">
        <v>116.0063</v>
      </c>
    </row>
    <row r="1581" spans="1:4" s="1" customFormat="1" ht="19.75" customHeight="1" x14ac:dyDescent="0.25">
      <c r="A1581" s="8">
        <f>2008</f>
        <v>2008</v>
      </c>
      <c r="B1581" s="3" t="s">
        <v>122</v>
      </c>
      <c r="C1581" s="6">
        <v>43.6496</v>
      </c>
      <c r="D1581" s="7">
        <v>57.442900000000002</v>
      </c>
    </row>
    <row r="1582" spans="1:4" s="1" customFormat="1" ht="19.75" customHeight="1" x14ac:dyDescent="0.25">
      <c r="A1582" s="8">
        <f>2008</f>
        <v>2008</v>
      </c>
      <c r="B1582" s="3" t="s">
        <v>30</v>
      </c>
      <c r="C1582" s="4">
        <v>1291.2348</v>
      </c>
      <c r="D1582" s="5">
        <v>1433.8175000000001</v>
      </c>
    </row>
    <row r="1583" spans="1:4" s="1" customFormat="1" ht="19.75" customHeight="1" x14ac:dyDescent="0.25">
      <c r="A1583" s="8">
        <f>2008</f>
        <v>2008</v>
      </c>
      <c r="B1583" s="3" t="s">
        <v>31</v>
      </c>
      <c r="C1583" s="6">
        <v>761.00390000000004</v>
      </c>
      <c r="D1583" s="7">
        <v>891.70870000000002</v>
      </c>
    </row>
    <row r="1584" spans="1:4" s="1" customFormat="1" ht="19.75" customHeight="1" x14ac:dyDescent="0.25">
      <c r="A1584" s="8">
        <f>2008</f>
        <v>2008</v>
      </c>
      <c r="B1584" s="3" t="s">
        <v>32</v>
      </c>
      <c r="C1584" s="4">
        <v>1304.6866</v>
      </c>
      <c r="D1584" s="5">
        <v>1665.3552</v>
      </c>
    </row>
    <row r="1585" spans="1:4" s="1" customFormat="1" ht="19.75" customHeight="1" x14ac:dyDescent="0.25">
      <c r="A1585" s="8">
        <f>2008</f>
        <v>2008</v>
      </c>
      <c r="B1585" s="3" t="s">
        <v>92</v>
      </c>
      <c r="C1585" s="6">
        <v>4.4543999999999997</v>
      </c>
      <c r="D1585" s="7">
        <v>8.9048999999999996</v>
      </c>
    </row>
    <row r="1586" spans="1:4" s="1" customFormat="1" ht="19.75" customHeight="1" x14ac:dyDescent="0.25">
      <c r="A1586" s="8">
        <f>2008</f>
        <v>2008</v>
      </c>
      <c r="B1586" s="3" t="s">
        <v>97</v>
      </c>
      <c r="C1586" s="4">
        <v>64.727000000000004</v>
      </c>
      <c r="D1586" s="5">
        <v>71.470600000000005</v>
      </c>
    </row>
    <row r="1587" spans="1:4" s="1" customFormat="1" ht="19.75" customHeight="1" x14ac:dyDescent="0.25">
      <c r="A1587" s="8">
        <f>2008</f>
        <v>2008</v>
      </c>
      <c r="B1587" s="3" t="s">
        <v>36</v>
      </c>
      <c r="C1587" s="6">
        <v>513.69560000000001</v>
      </c>
      <c r="D1587" s="7">
        <v>861.67939999999999</v>
      </c>
    </row>
    <row r="1588" spans="1:4" s="1" customFormat="1" ht="19.75" customHeight="1" x14ac:dyDescent="0.25">
      <c r="A1588" s="8">
        <f>2008</f>
        <v>2008</v>
      </c>
      <c r="B1588" s="3" t="s">
        <v>37</v>
      </c>
      <c r="C1588" s="4">
        <v>35.035499999999999</v>
      </c>
      <c r="D1588" s="5">
        <v>43.711100000000002</v>
      </c>
    </row>
    <row r="1589" spans="1:4" s="1" customFormat="1" ht="19.75" customHeight="1" x14ac:dyDescent="0.25">
      <c r="A1589" s="8">
        <f>2008</f>
        <v>2008</v>
      </c>
      <c r="B1589" s="3" t="s">
        <v>38</v>
      </c>
      <c r="C1589" s="6">
        <v>11.206899999999999</v>
      </c>
      <c r="D1589" s="7">
        <v>14.776899999999999</v>
      </c>
    </row>
    <row r="1590" spans="1:4" s="1" customFormat="1" ht="19.75" customHeight="1" x14ac:dyDescent="0.25">
      <c r="A1590" s="8">
        <f>2008</f>
        <v>2008</v>
      </c>
      <c r="B1590" s="3" t="s">
        <v>40</v>
      </c>
      <c r="C1590" s="4">
        <v>354.41300000000001</v>
      </c>
      <c r="D1590" s="5">
        <v>468.06869999999998</v>
      </c>
    </row>
    <row r="1591" spans="1:4" s="1" customFormat="1" ht="19.75" customHeight="1" x14ac:dyDescent="0.25">
      <c r="A1591" s="8">
        <f>2008</f>
        <v>2008</v>
      </c>
      <c r="B1591" s="3" t="s">
        <v>41</v>
      </c>
      <c r="C1591" s="6">
        <v>623.82960000000003</v>
      </c>
      <c r="D1591" s="7">
        <v>1191.3439000000001</v>
      </c>
    </row>
    <row r="1592" spans="1:4" s="1" customFormat="1" ht="19.75" customHeight="1" x14ac:dyDescent="0.25">
      <c r="A1592" s="8">
        <f>2008</f>
        <v>2008</v>
      </c>
      <c r="B1592" s="3" t="s">
        <v>42</v>
      </c>
      <c r="C1592" s="4">
        <v>459.47770000000003</v>
      </c>
      <c r="D1592" s="5">
        <v>715.64</v>
      </c>
    </row>
    <row r="1593" spans="1:4" s="1" customFormat="1" ht="19.75" customHeight="1" x14ac:dyDescent="0.25">
      <c r="A1593" s="8">
        <f>2008</f>
        <v>2008</v>
      </c>
      <c r="B1593" s="3" t="s">
        <v>43</v>
      </c>
      <c r="C1593" s="6">
        <v>5963.9865</v>
      </c>
      <c r="D1593" s="7">
        <v>8410.1087000000007</v>
      </c>
    </row>
    <row r="1594" spans="1:4" s="1" customFormat="1" ht="19.75" customHeight="1" x14ac:dyDescent="0.25">
      <c r="A1594" s="8">
        <f>2008</f>
        <v>2008</v>
      </c>
      <c r="B1594" s="3" t="s">
        <v>45</v>
      </c>
      <c r="C1594" s="4">
        <v>276.1062</v>
      </c>
      <c r="D1594" s="5">
        <v>506.12939999999998</v>
      </c>
    </row>
    <row r="1595" spans="1:4" s="1" customFormat="1" ht="19.75" customHeight="1" x14ac:dyDescent="0.25">
      <c r="A1595" s="8">
        <f>2008</f>
        <v>2008</v>
      </c>
      <c r="B1595" s="3" t="s">
        <v>46</v>
      </c>
      <c r="C1595" s="6">
        <v>14.205500000000001</v>
      </c>
      <c r="D1595" s="7">
        <v>15.8119</v>
      </c>
    </row>
    <row r="1596" spans="1:4" s="1" customFormat="1" ht="19.75" customHeight="1" x14ac:dyDescent="0.25">
      <c r="A1596" s="8">
        <f>2008</f>
        <v>2008</v>
      </c>
      <c r="B1596" s="3" t="s">
        <v>47</v>
      </c>
      <c r="C1596" s="4">
        <v>634.09320000000002</v>
      </c>
      <c r="D1596" s="5">
        <v>600.64480000000003</v>
      </c>
    </row>
    <row r="1597" spans="1:4" s="1" customFormat="1" ht="19.75" customHeight="1" x14ac:dyDescent="0.25">
      <c r="A1597" s="8">
        <f>2008</f>
        <v>2008</v>
      </c>
      <c r="B1597" s="3" t="s">
        <v>48</v>
      </c>
      <c r="C1597" s="6">
        <v>1445.376</v>
      </c>
      <c r="D1597" s="7">
        <v>2462.9789999999998</v>
      </c>
    </row>
    <row r="1598" spans="1:4" s="1" customFormat="1" ht="19.75" customHeight="1" x14ac:dyDescent="0.25">
      <c r="A1598" s="8">
        <f>2008</f>
        <v>2008</v>
      </c>
      <c r="B1598" s="3" t="s">
        <v>98</v>
      </c>
      <c r="C1598" s="4">
        <v>4979.2170999999998</v>
      </c>
      <c r="D1598" s="5">
        <v>7095.8918999999996</v>
      </c>
    </row>
    <row r="1599" spans="1:4" s="1" customFormat="1" ht="19.75" customHeight="1" x14ac:dyDescent="0.25">
      <c r="A1599" s="8">
        <f>2008</f>
        <v>2008</v>
      </c>
      <c r="B1599" s="3" t="s">
        <v>121</v>
      </c>
      <c r="C1599" s="6">
        <v>14.623200000000001</v>
      </c>
      <c r="D1599" s="7">
        <v>15.2906</v>
      </c>
    </row>
    <row r="1600" spans="1:4" s="1" customFormat="1" ht="19.75" customHeight="1" x14ac:dyDescent="0.25">
      <c r="A1600" s="8">
        <f>2008</f>
        <v>2008</v>
      </c>
      <c r="B1600" s="3" t="s">
        <v>55</v>
      </c>
      <c r="C1600" s="4">
        <v>451.34739999999999</v>
      </c>
      <c r="D1600" s="5">
        <v>835.66790000000003</v>
      </c>
    </row>
    <row r="1601" spans="1:4" s="1" customFormat="1" ht="19.75" customHeight="1" x14ac:dyDescent="0.25">
      <c r="A1601" s="8">
        <f>2008</f>
        <v>2008</v>
      </c>
      <c r="B1601" s="3" t="s">
        <v>119</v>
      </c>
      <c r="C1601" s="6">
        <v>40.587699999999998</v>
      </c>
      <c r="D1601" s="7">
        <v>48.270800000000001</v>
      </c>
    </row>
    <row r="1602" spans="1:4" s="1" customFormat="1" ht="19.75" customHeight="1" x14ac:dyDescent="0.25">
      <c r="A1602" s="8">
        <f>2008</f>
        <v>2008</v>
      </c>
      <c r="B1602" s="3" t="s">
        <v>94</v>
      </c>
      <c r="C1602" s="4">
        <v>7.7572000000000001</v>
      </c>
      <c r="D1602" s="5">
        <v>8.6073000000000004</v>
      </c>
    </row>
    <row r="1603" spans="1:4" s="1" customFormat="1" ht="19.75" customHeight="1" x14ac:dyDescent="0.25">
      <c r="A1603" s="8">
        <f>2008</f>
        <v>2008</v>
      </c>
      <c r="B1603" s="3" t="s">
        <v>59</v>
      </c>
      <c r="C1603" s="6">
        <v>7.9320000000000004</v>
      </c>
      <c r="D1603" s="7">
        <v>17.607399999999998</v>
      </c>
    </row>
    <row r="1604" spans="1:4" s="1" customFormat="1" ht="19.75" customHeight="1" x14ac:dyDescent="0.25">
      <c r="A1604" s="8">
        <f>2008</f>
        <v>2008</v>
      </c>
      <c r="B1604" s="3" t="s">
        <v>60</v>
      </c>
      <c r="C1604" s="4">
        <v>74.7727</v>
      </c>
      <c r="D1604" s="5">
        <v>94.379900000000006</v>
      </c>
    </row>
    <row r="1605" spans="1:4" s="1" customFormat="1" ht="19.75" customHeight="1" x14ac:dyDescent="0.25">
      <c r="A1605" s="8">
        <f>2008</f>
        <v>2008</v>
      </c>
      <c r="B1605" s="3" t="s">
        <v>61</v>
      </c>
      <c r="C1605" s="6">
        <v>213.5428</v>
      </c>
      <c r="D1605" s="7">
        <v>256.19569999999999</v>
      </c>
    </row>
    <row r="1606" spans="1:4" s="1" customFormat="1" ht="19.75" customHeight="1" x14ac:dyDescent="0.25">
      <c r="A1606" s="8">
        <f>2008</f>
        <v>2008</v>
      </c>
      <c r="B1606" s="3" t="s">
        <v>64</v>
      </c>
      <c r="C1606" s="4">
        <v>2.1758000000000002</v>
      </c>
      <c r="D1606" s="5">
        <v>13.588900000000001</v>
      </c>
    </row>
    <row r="1607" spans="1:4" s="1" customFormat="1" ht="19.75" customHeight="1" x14ac:dyDescent="0.25">
      <c r="A1607" s="8">
        <f>2008</f>
        <v>2008</v>
      </c>
      <c r="B1607" s="3" t="s">
        <v>67</v>
      </c>
      <c r="C1607" s="6">
        <v>37.046199999999999</v>
      </c>
      <c r="D1607" s="7">
        <v>42.751600000000003</v>
      </c>
    </row>
    <row r="1608" spans="1:4" s="1" customFormat="1" ht="19.75" customHeight="1" x14ac:dyDescent="0.25">
      <c r="A1608" s="8">
        <f>2008</f>
        <v>2008</v>
      </c>
      <c r="B1608" s="3" t="s">
        <v>68</v>
      </c>
      <c r="C1608" s="4">
        <v>48.207599999999999</v>
      </c>
      <c r="D1608" s="5">
        <v>53.7834</v>
      </c>
    </row>
    <row r="1609" spans="1:4" s="1" customFormat="1" ht="19.75" customHeight="1" x14ac:dyDescent="0.25">
      <c r="A1609" s="8">
        <f>2008</f>
        <v>2008</v>
      </c>
      <c r="B1609" s="3" t="s">
        <v>69</v>
      </c>
      <c r="C1609" s="6">
        <v>220.9973</v>
      </c>
      <c r="D1609" s="7">
        <v>263.37430000000001</v>
      </c>
    </row>
    <row r="1610" spans="1:4" s="1" customFormat="1" ht="19.75" customHeight="1" x14ac:dyDescent="0.25">
      <c r="A1610" s="8">
        <f>2008</f>
        <v>2008</v>
      </c>
      <c r="B1610" s="3" t="s">
        <v>95</v>
      </c>
      <c r="C1610" s="4">
        <v>1.3681000000000001</v>
      </c>
      <c r="D1610" s="5">
        <v>5.0944000000000003</v>
      </c>
    </row>
    <row r="1611" spans="1:4" s="1" customFormat="1" ht="19.75" customHeight="1" x14ac:dyDescent="0.25">
      <c r="A1611" s="8">
        <f>2008</f>
        <v>2008</v>
      </c>
      <c r="B1611" s="3" t="s">
        <v>71</v>
      </c>
      <c r="C1611" s="6">
        <v>4878.0626000000002</v>
      </c>
      <c r="D1611" s="7">
        <v>7200.2673000000004</v>
      </c>
    </row>
    <row r="1612" spans="1:4" s="1" customFormat="1" ht="19.75" customHeight="1" x14ac:dyDescent="0.25">
      <c r="A1612" s="8">
        <f>2008</f>
        <v>2008</v>
      </c>
      <c r="B1612" s="3" t="s">
        <v>125</v>
      </c>
      <c r="C1612" s="4">
        <v>3038.2917000000002</v>
      </c>
      <c r="D1612" s="5">
        <v>3682.1116000000002</v>
      </c>
    </row>
    <row r="1613" spans="1:4" s="1" customFormat="1" ht="19.75" customHeight="1" x14ac:dyDescent="0.25">
      <c r="A1613" s="8">
        <f>20007</f>
        <v>20007</v>
      </c>
      <c r="B1613" s="3" t="s">
        <v>112</v>
      </c>
      <c r="C1613" s="6">
        <v>2374.1788000000001</v>
      </c>
      <c r="D1613" s="7">
        <v>2867.3787000000002</v>
      </c>
    </row>
    <row r="1614" spans="1:4" s="1" customFormat="1" ht="19.75" customHeight="1" x14ac:dyDescent="0.25">
      <c r="A1614" s="8">
        <f>20007</f>
        <v>20007</v>
      </c>
      <c r="B1614" s="3" t="s">
        <v>113</v>
      </c>
      <c r="C1614" s="4">
        <v>3362.4884999999999</v>
      </c>
      <c r="D1614" s="5">
        <v>3946.8328999999999</v>
      </c>
    </row>
    <row r="1615" spans="1:4" s="1" customFormat="1" ht="19.75" customHeight="1" x14ac:dyDescent="0.25">
      <c r="A1615" s="8">
        <f>20007</f>
        <v>20007</v>
      </c>
      <c r="B1615" s="3" t="s">
        <v>9</v>
      </c>
      <c r="C1615" s="6">
        <v>37242.326000000001</v>
      </c>
      <c r="D1615" s="7">
        <v>44007.587800000001</v>
      </c>
    </row>
    <row r="1616" spans="1:4" s="1" customFormat="1" ht="19.75" customHeight="1" x14ac:dyDescent="0.25">
      <c r="A1616" s="8">
        <f>20007</f>
        <v>20007</v>
      </c>
      <c r="B1616" s="3" t="s">
        <v>123</v>
      </c>
      <c r="C1616" s="4">
        <v>1658.6049</v>
      </c>
      <c r="D1616" s="5">
        <v>1923.0527999999999</v>
      </c>
    </row>
    <row r="1617" spans="1:4" s="1" customFormat="1" ht="19.75" customHeight="1" x14ac:dyDescent="0.25">
      <c r="A1617" s="8">
        <f>20007</f>
        <v>20007</v>
      </c>
      <c r="B1617" s="3" t="s">
        <v>114</v>
      </c>
      <c r="C1617" s="6">
        <v>1776.4875999999999</v>
      </c>
      <c r="D1617" s="7">
        <v>2126.7123000000001</v>
      </c>
    </row>
    <row r="1618" spans="1:4" s="1" customFormat="1" ht="19.75" customHeight="1" x14ac:dyDescent="0.25">
      <c r="A1618" s="8">
        <f>20007</f>
        <v>20007</v>
      </c>
      <c r="B1618" s="3" t="s">
        <v>115</v>
      </c>
      <c r="C1618" s="4">
        <v>3064.7125000000001</v>
      </c>
      <c r="D1618" s="5">
        <v>3507.3499000000002</v>
      </c>
    </row>
    <row r="1619" spans="1:4" s="1" customFormat="1" ht="19.75" customHeight="1" x14ac:dyDescent="0.25">
      <c r="A1619" s="8">
        <f>20007</f>
        <v>20007</v>
      </c>
      <c r="B1619" s="3" t="s">
        <v>126</v>
      </c>
      <c r="C1619" s="6">
        <v>1295.4111</v>
      </c>
      <c r="D1619" s="7">
        <v>1452.0771</v>
      </c>
    </row>
    <row r="1620" spans="1:4" s="1" customFormat="1" ht="19.75" customHeight="1" x14ac:dyDescent="0.25">
      <c r="A1620" s="8">
        <f>20007</f>
        <v>20007</v>
      </c>
      <c r="B1620" s="3" t="s">
        <v>116</v>
      </c>
      <c r="C1620" s="4">
        <v>2690.6286</v>
      </c>
      <c r="D1620" s="5">
        <v>3054.1635999999999</v>
      </c>
    </row>
    <row r="1621" spans="1:4" s="1" customFormat="1" ht="19.75" customHeight="1" x14ac:dyDescent="0.25">
      <c r="A1621" s="8">
        <f>20007</f>
        <v>20007</v>
      </c>
      <c r="B1621" s="3" t="s">
        <v>100</v>
      </c>
      <c r="C1621" s="6">
        <v>4883.8627999999999</v>
      </c>
      <c r="D1621" s="7">
        <v>5260.2649000000001</v>
      </c>
    </row>
    <row r="1622" spans="1:4" s="1" customFormat="1" ht="19.75" customHeight="1" x14ac:dyDescent="0.25">
      <c r="A1622" s="8">
        <f>20007</f>
        <v>20007</v>
      </c>
      <c r="B1622" s="3" t="s">
        <v>101</v>
      </c>
      <c r="C1622" s="4">
        <v>3315.3253</v>
      </c>
      <c r="D1622" s="5">
        <v>3762.2112999999999</v>
      </c>
    </row>
    <row r="1623" spans="1:4" s="1" customFormat="1" ht="19.75" customHeight="1" x14ac:dyDescent="0.25">
      <c r="A1623" s="8">
        <f>20007</f>
        <v>20007</v>
      </c>
      <c r="B1623" s="3" t="s">
        <v>0</v>
      </c>
      <c r="C1623" s="6">
        <v>9004.0854999999992</v>
      </c>
      <c r="D1623" s="7">
        <v>10385.878199999999</v>
      </c>
    </row>
    <row r="1624" spans="1:4" s="1" customFormat="1" ht="19.75" customHeight="1" x14ac:dyDescent="0.25">
      <c r="A1624" s="8">
        <f>20007</f>
        <v>20007</v>
      </c>
      <c r="B1624" s="3" t="s">
        <v>1</v>
      </c>
      <c r="C1624" s="4">
        <v>8936.2831999999999</v>
      </c>
      <c r="D1624" s="5">
        <v>10499.236500000001</v>
      </c>
    </row>
    <row r="1625" spans="1:4" s="1" customFormat="1" ht="19.75" customHeight="1" x14ac:dyDescent="0.25">
      <c r="A1625" s="8">
        <f>20007</f>
        <v>20007</v>
      </c>
      <c r="B1625" s="3" t="s">
        <v>2</v>
      </c>
      <c r="C1625" s="6">
        <v>2722.0369999999998</v>
      </c>
      <c r="D1625" s="7">
        <v>2987.0911999999998</v>
      </c>
    </row>
    <row r="1626" spans="1:4" s="1" customFormat="1" ht="19.75" customHeight="1" x14ac:dyDescent="0.25">
      <c r="A1626" s="8">
        <f>20007</f>
        <v>20007</v>
      </c>
      <c r="B1626" s="3" t="s">
        <v>3</v>
      </c>
      <c r="C1626" s="4">
        <v>11364.556200000001</v>
      </c>
      <c r="D1626" s="5">
        <v>12815.5059</v>
      </c>
    </row>
    <row r="1627" spans="1:4" s="1" customFormat="1" ht="19.75" customHeight="1" x14ac:dyDescent="0.25">
      <c r="A1627" s="8">
        <f>20007</f>
        <v>20007</v>
      </c>
      <c r="B1627" s="3" t="s">
        <v>4</v>
      </c>
      <c r="C1627" s="6">
        <v>6234.2129000000004</v>
      </c>
      <c r="D1627" s="7">
        <v>6709.8648000000003</v>
      </c>
    </row>
    <row r="1628" spans="1:4" s="1" customFormat="1" ht="19.75" customHeight="1" x14ac:dyDescent="0.25">
      <c r="A1628" s="8">
        <f>20007</f>
        <v>20007</v>
      </c>
      <c r="B1628" s="3" t="s">
        <v>102</v>
      </c>
      <c r="C1628" s="4">
        <v>3360.4737</v>
      </c>
      <c r="D1628" s="5">
        <v>3995.9967000000001</v>
      </c>
    </row>
    <row r="1629" spans="1:4" s="1" customFormat="1" ht="19.75" customHeight="1" x14ac:dyDescent="0.25">
      <c r="A1629" s="8">
        <f>20007</f>
        <v>20007</v>
      </c>
      <c r="B1629" s="3" t="s">
        <v>108</v>
      </c>
      <c r="C1629" s="6">
        <v>2118.5185999999999</v>
      </c>
      <c r="D1629" s="7">
        <v>2510.0439999999999</v>
      </c>
    </row>
    <row r="1630" spans="1:4" s="1" customFormat="1" ht="19.75" customHeight="1" x14ac:dyDescent="0.25">
      <c r="A1630" s="8">
        <f>20007</f>
        <v>20007</v>
      </c>
      <c r="B1630" s="3" t="s">
        <v>127</v>
      </c>
      <c r="C1630" s="4">
        <v>6345.4192000000003</v>
      </c>
      <c r="D1630" s="5">
        <v>7372.6026000000002</v>
      </c>
    </row>
    <row r="1631" spans="1:4" s="1" customFormat="1" ht="19.75" customHeight="1" x14ac:dyDescent="0.25">
      <c r="A1631" s="8">
        <f>20007</f>
        <v>20007</v>
      </c>
      <c r="B1631" s="3" t="s">
        <v>5</v>
      </c>
      <c r="C1631" s="6">
        <v>4194.7963</v>
      </c>
      <c r="D1631" s="7">
        <v>5017.8600999999999</v>
      </c>
    </row>
    <row r="1632" spans="1:4" s="1" customFormat="1" ht="19.75" customHeight="1" x14ac:dyDescent="0.25">
      <c r="A1632" s="8">
        <f>20007</f>
        <v>20007</v>
      </c>
      <c r="B1632" s="3" t="s">
        <v>6</v>
      </c>
      <c r="C1632" s="4">
        <v>5832.0735000000004</v>
      </c>
      <c r="D1632" s="5">
        <v>6219.1216999999997</v>
      </c>
    </row>
    <row r="1633" spans="1:4" s="1" customFormat="1" ht="19.75" customHeight="1" x14ac:dyDescent="0.25">
      <c r="A1633" s="8">
        <f>20007</f>
        <v>20007</v>
      </c>
      <c r="B1633" s="3" t="s">
        <v>103</v>
      </c>
      <c r="C1633" s="6">
        <v>5164.9003000000002</v>
      </c>
      <c r="D1633" s="7">
        <v>5768.1579000000002</v>
      </c>
    </row>
    <row r="1634" spans="1:4" s="1" customFormat="1" ht="19.75" customHeight="1" x14ac:dyDescent="0.25">
      <c r="A1634" s="8">
        <f>20007</f>
        <v>20007</v>
      </c>
      <c r="B1634" s="3" t="s">
        <v>7</v>
      </c>
      <c r="C1634" s="4">
        <v>1726.8747000000001</v>
      </c>
      <c r="D1634" s="5">
        <v>1955.3724</v>
      </c>
    </row>
    <row r="1635" spans="1:4" s="1" customFormat="1" ht="19.75" customHeight="1" x14ac:dyDescent="0.25">
      <c r="A1635" s="8">
        <f>20007</f>
        <v>20007</v>
      </c>
      <c r="B1635" s="3" t="s">
        <v>8</v>
      </c>
      <c r="C1635" s="6">
        <v>11236.143400000001</v>
      </c>
      <c r="D1635" s="7">
        <v>12966.5429</v>
      </c>
    </row>
    <row r="1636" spans="1:4" s="1" customFormat="1" ht="19.75" customHeight="1" x14ac:dyDescent="0.25">
      <c r="A1636" s="8">
        <f>20007</f>
        <v>20007</v>
      </c>
      <c r="B1636" s="3" t="s">
        <v>104</v>
      </c>
      <c r="C1636" s="4">
        <v>6040.0715</v>
      </c>
      <c r="D1636" s="5">
        <v>6658.5478000000003</v>
      </c>
    </row>
    <row r="1637" spans="1:4" s="1" customFormat="1" ht="19.75" customHeight="1" x14ac:dyDescent="0.25">
      <c r="A1637" s="8">
        <f>20007</f>
        <v>20007</v>
      </c>
      <c r="B1637" s="3" t="s">
        <v>10</v>
      </c>
      <c r="C1637" s="6">
        <v>5210.0596999999998</v>
      </c>
      <c r="D1637" s="7">
        <v>5760.4929000000002</v>
      </c>
    </row>
    <row r="1638" spans="1:4" s="1" customFormat="1" ht="19.75" customHeight="1" x14ac:dyDescent="0.25">
      <c r="A1638" s="8">
        <f>20007</f>
        <v>20007</v>
      </c>
      <c r="B1638" s="3" t="s">
        <v>11</v>
      </c>
      <c r="C1638" s="4">
        <v>7382.1790000000001</v>
      </c>
      <c r="D1638" s="5">
        <v>8068.7203</v>
      </c>
    </row>
    <row r="1639" spans="1:4" s="1" customFormat="1" ht="19.75" customHeight="1" x14ac:dyDescent="0.25">
      <c r="A1639" s="8">
        <f>20007</f>
        <v>20007</v>
      </c>
      <c r="B1639" s="3" t="s">
        <v>105</v>
      </c>
      <c r="C1639" s="6">
        <v>2825.0942</v>
      </c>
      <c r="D1639" s="7">
        <v>3172.7723999999998</v>
      </c>
    </row>
    <row r="1640" spans="1:4" s="1" customFormat="1" ht="19.75" customHeight="1" x14ac:dyDescent="0.25">
      <c r="A1640" s="8">
        <f>20007</f>
        <v>20007</v>
      </c>
      <c r="B1640" s="3" t="s">
        <v>109</v>
      </c>
      <c r="C1640" s="4">
        <v>2823.1122999999998</v>
      </c>
      <c r="D1640" s="5">
        <v>3097.9014999999999</v>
      </c>
    </row>
    <row r="1641" spans="1:4" s="1" customFormat="1" ht="19.75" customHeight="1" x14ac:dyDescent="0.25">
      <c r="A1641" s="8">
        <f>20007</f>
        <v>20007</v>
      </c>
      <c r="B1641" s="3" t="s">
        <v>12</v>
      </c>
      <c r="C1641" s="6">
        <v>4461.6552000000001</v>
      </c>
      <c r="D1641" s="7">
        <v>5471.7664999999997</v>
      </c>
    </row>
    <row r="1642" spans="1:4" s="1" customFormat="1" ht="19.75" customHeight="1" x14ac:dyDescent="0.25">
      <c r="A1642" s="8">
        <f>20007</f>
        <v>20007</v>
      </c>
      <c r="B1642" s="3" t="s">
        <v>124</v>
      </c>
      <c r="C1642" s="4">
        <v>757.93150000000003</v>
      </c>
      <c r="D1642" s="5">
        <v>881.93370000000004</v>
      </c>
    </row>
    <row r="1643" spans="1:4" s="1" customFormat="1" ht="19.75" customHeight="1" x14ac:dyDescent="0.25">
      <c r="A1643" s="8">
        <f>20007</f>
        <v>20007</v>
      </c>
      <c r="B1643" s="3" t="s">
        <v>128</v>
      </c>
      <c r="C1643" s="6">
        <v>1233.4000000000001</v>
      </c>
      <c r="D1643" s="7">
        <v>1673.97</v>
      </c>
    </row>
    <row r="1644" spans="1:4" s="1" customFormat="1" ht="19.75" customHeight="1" x14ac:dyDescent="0.25">
      <c r="A1644" s="8">
        <f>20007</f>
        <v>20007</v>
      </c>
      <c r="B1644" s="3" t="s">
        <v>14</v>
      </c>
      <c r="C1644" s="4">
        <v>400.05380000000002</v>
      </c>
      <c r="D1644" s="5">
        <v>454.13600000000002</v>
      </c>
    </row>
    <row r="1645" spans="1:4" s="1" customFormat="1" ht="19.75" customHeight="1" x14ac:dyDescent="0.25">
      <c r="A1645" s="8">
        <f>20007</f>
        <v>20007</v>
      </c>
      <c r="B1645" s="3" t="s">
        <v>15</v>
      </c>
      <c r="C1645" s="6">
        <v>408.9504</v>
      </c>
      <c r="D1645" s="7">
        <v>451.57010000000002</v>
      </c>
    </row>
    <row r="1646" spans="1:4" s="1" customFormat="1" ht="19.75" customHeight="1" x14ac:dyDescent="0.25">
      <c r="A1646" s="8">
        <f>20007</f>
        <v>20007</v>
      </c>
      <c r="B1646" s="3" t="s">
        <v>16</v>
      </c>
      <c r="C1646" s="4">
        <v>346.92759999999998</v>
      </c>
      <c r="D1646" s="5">
        <v>439.42059999999998</v>
      </c>
    </row>
    <row r="1647" spans="1:4" s="1" customFormat="1" ht="19.75" customHeight="1" x14ac:dyDescent="0.25">
      <c r="A1647" s="8">
        <f>20007</f>
        <v>20007</v>
      </c>
      <c r="B1647" s="3" t="s">
        <v>17</v>
      </c>
      <c r="C1647" s="6">
        <v>248.50360000000001</v>
      </c>
      <c r="D1647" s="7">
        <v>276.17189999999999</v>
      </c>
    </row>
    <row r="1648" spans="1:4" s="1" customFormat="1" ht="19.75" customHeight="1" x14ac:dyDescent="0.25">
      <c r="A1648" s="8">
        <f>20007</f>
        <v>20007</v>
      </c>
      <c r="B1648" s="3" t="s">
        <v>18</v>
      </c>
      <c r="C1648" s="4">
        <v>1801.4558</v>
      </c>
      <c r="D1648" s="5">
        <v>2104.0417000000002</v>
      </c>
    </row>
    <row r="1649" spans="1:4" s="1" customFormat="1" ht="19.75" customHeight="1" x14ac:dyDescent="0.25">
      <c r="A1649" s="8">
        <f>20007</f>
        <v>20007</v>
      </c>
      <c r="B1649" s="3" t="s">
        <v>19</v>
      </c>
      <c r="C1649" s="6">
        <v>6647.93</v>
      </c>
      <c r="D1649" s="7">
        <v>8164.16</v>
      </c>
    </row>
    <row r="1650" spans="1:4" s="1" customFormat="1" ht="19.75" customHeight="1" x14ac:dyDescent="0.25">
      <c r="A1650" s="8">
        <f>20007</f>
        <v>20007</v>
      </c>
      <c r="B1650" s="3" t="s">
        <v>20</v>
      </c>
      <c r="C1650" s="4">
        <v>21995.587599999999</v>
      </c>
      <c r="D1650" s="5">
        <v>28923.460200000001</v>
      </c>
    </row>
    <row r="1651" spans="1:4" s="1" customFormat="1" ht="19.75" customHeight="1" x14ac:dyDescent="0.25">
      <c r="A1651" s="8">
        <f>20007</f>
        <v>20007</v>
      </c>
      <c r="B1651" s="3" t="s">
        <v>23</v>
      </c>
      <c r="C1651" s="6">
        <v>1500.2507000000001</v>
      </c>
      <c r="D1651" s="7">
        <v>1744.3831</v>
      </c>
    </row>
    <row r="1652" spans="1:4" s="1" customFormat="1" ht="19.75" customHeight="1" x14ac:dyDescent="0.25">
      <c r="A1652" s="8">
        <f>20007</f>
        <v>20007</v>
      </c>
      <c r="B1652" s="3" t="s">
        <v>120</v>
      </c>
      <c r="C1652" s="4">
        <v>1267.6291000000001</v>
      </c>
      <c r="D1652" s="5">
        <v>1553.3643</v>
      </c>
    </row>
    <row r="1653" spans="1:4" s="1" customFormat="1" ht="19.75" customHeight="1" x14ac:dyDescent="0.25">
      <c r="A1653" s="8">
        <f>20007</f>
        <v>20007</v>
      </c>
      <c r="B1653" s="3" t="s">
        <v>24</v>
      </c>
      <c r="C1653" s="6">
        <v>1899.3252</v>
      </c>
      <c r="D1653" s="7">
        <v>2059.5369000000001</v>
      </c>
    </row>
    <row r="1654" spans="1:4" s="1" customFormat="1" ht="19.75" customHeight="1" x14ac:dyDescent="0.25">
      <c r="A1654" s="8">
        <f>20007</f>
        <v>20007</v>
      </c>
      <c r="B1654" s="3" t="s">
        <v>25</v>
      </c>
      <c r="C1654" s="4">
        <v>1256.2503999999999</v>
      </c>
      <c r="D1654" s="5">
        <v>1430.5231000000001</v>
      </c>
    </row>
    <row r="1655" spans="1:4" s="1" customFormat="1" ht="19.75" customHeight="1" x14ac:dyDescent="0.25">
      <c r="A1655" s="8">
        <f>20007</f>
        <v>20007</v>
      </c>
      <c r="B1655" s="3" t="s">
        <v>26</v>
      </c>
      <c r="C1655" s="6">
        <v>867.39890000000003</v>
      </c>
      <c r="D1655" s="7">
        <v>986.54970000000003</v>
      </c>
    </row>
    <row r="1656" spans="1:4" s="1" customFormat="1" ht="19.75" customHeight="1" x14ac:dyDescent="0.25">
      <c r="A1656" s="8">
        <f>20007</f>
        <v>20007</v>
      </c>
      <c r="B1656" s="3" t="s">
        <v>27</v>
      </c>
      <c r="C1656" s="4">
        <v>1319.1042</v>
      </c>
      <c r="D1656" s="5">
        <v>1637.7585999999999</v>
      </c>
    </row>
    <row r="1657" spans="1:4" s="1" customFormat="1" ht="19.75" customHeight="1" x14ac:dyDescent="0.25">
      <c r="A1657" s="8">
        <f>20007</f>
        <v>20007</v>
      </c>
      <c r="B1657" s="3" t="s">
        <v>106</v>
      </c>
      <c r="C1657" s="6">
        <v>418.26139999999998</v>
      </c>
      <c r="D1657" s="7">
        <v>474.98579999999998</v>
      </c>
    </row>
    <row r="1658" spans="1:4" s="1" customFormat="1" ht="19.75" customHeight="1" x14ac:dyDescent="0.25">
      <c r="A1658" s="8">
        <f>20007</f>
        <v>20007</v>
      </c>
      <c r="B1658" s="3" t="s">
        <v>129</v>
      </c>
      <c r="C1658" s="4">
        <v>189.02520000000001</v>
      </c>
      <c r="D1658" s="5">
        <v>204.29810000000001</v>
      </c>
    </row>
    <row r="1659" spans="1:4" s="1" customFormat="1" ht="19.75" customHeight="1" x14ac:dyDescent="0.25">
      <c r="A1659" s="8">
        <f>20007</f>
        <v>20007</v>
      </c>
      <c r="B1659" s="3" t="s">
        <v>28</v>
      </c>
      <c r="C1659" s="6">
        <v>123.1476</v>
      </c>
      <c r="D1659" s="7">
        <v>127.7107</v>
      </c>
    </row>
    <row r="1660" spans="1:4" s="1" customFormat="1" ht="19.75" customHeight="1" x14ac:dyDescent="0.25">
      <c r="A1660" s="8">
        <f>20007</f>
        <v>20007</v>
      </c>
      <c r="B1660" s="3" t="s">
        <v>29</v>
      </c>
      <c r="C1660" s="4">
        <v>76.3142</v>
      </c>
      <c r="D1660" s="5">
        <v>80.958299999999994</v>
      </c>
    </row>
    <row r="1661" spans="1:4" s="1" customFormat="1" ht="19.75" customHeight="1" x14ac:dyDescent="0.25">
      <c r="A1661" s="8">
        <f>20007</f>
        <v>20007</v>
      </c>
      <c r="B1661" s="3" t="s">
        <v>130</v>
      </c>
      <c r="C1661" s="6">
        <v>111.2953</v>
      </c>
      <c r="D1661" s="7">
        <v>118.12050000000001</v>
      </c>
    </row>
    <row r="1662" spans="1:4" s="1" customFormat="1" ht="19.75" customHeight="1" x14ac:dyDescent="0.25">
      <c r="A1662" s="8">
        <f>20007</f>
        <v>20007</v>
      </c>
      <c r="B1662" s="3" t="s">
        <v>122</v>
      </c>
      <c r="C1662" s="4">
        <v>33.933199999999999</v>
      </c>
      <c r="D1662" s="5">
        <v>37.801900000000003</v>
      </c>
    </row>
    <row r="1663" spans="1:4" s="1" customFormat="1" ht="19.75" customHeight="1" x14ac:dyDescent="0.25">
      <c r="A1663" s="8">
        <f>20007</f>
        <v>20007</v>
      </c>
      <c r="B1663" s="3" t="s">
        <v>30</v>
      </c>
      <c r="C1663" s="6">
        <v>976.60969999999998</v>
      </c>
      <c r="D1663" s="7">
        <v>1079.7636</v>
      </c>
    </row>
    <row r="1664" spans="1:4" s="1" customFormat="1" ht="19.75" customHeight="1" x14ac:dyDescent="0.25">
      <c r="A1664" s="8">
        <f>20007</f>
        <v>20007</v>
      </c>
      <c r="B1664" s="3" t="s">
        <v>31</v>
      </c>
      <c r="C1664" s="4">
        <v>637.98829999999998</v>
      </c>
      <c r="D1664" s="5">
        <v>720.84040000000005</v>
      </c>
    </row>
    <row r="1665" spans="1:4" s="1" customFormat="1" ht="19.75" customHeight="1" x14ac:dyDescent="0.25">
      <c r="A1665" s="8">
        <f>20007</f>
        <v>20007</v>
      </c>
      <c r="B1665" s="3" t="s">
        <v>32</v>
      </c>
      <c r="C1665" s="6">
        <v>587.60940000000005</v>
      </c>
      <c r="D1665" s="7">
        <v>782.18150000000003</v>
      </c>
    </row>
    <row r="1666" spans="1:4" s="1" customFormat="1" ht="19.75" customHeight="1" x14ac:dyDescent="0.25">
      <c r="A1666" s="8">
        <f>20007</f>
        <v>20007</v>
      </c>
      <c r="B1666" s="3" t="s">
        <v>92</v>
      </c>
      <c r="C1666" s="4">
        <v>4.5242000000000004</v>
      </c>
      <c r="D1666" s="5">
        <v>9.3742999999999999</v>
      </c>
    </row>
    <row r="1667" spans="1:4" s="1" customFormat="1" ht="19.75" customHeight="1" x14ac:dyDescent="0.25">
      <c r="A1667" s="8">
        <f>20007</f>
        <v>20007</v>
      </c>
      <c r="B1667" s="3" t="s">
        <v>97</v>
      </c>
      <c r="C1667" s="6">
        <v>46.647100000000002</v>
      </c>
      <c r="D1667" s="7">
        <v>62.076099999999997</v>
      </c>
    </row>
    <row r="1668" spans="1:4" s="1" customFormat="1" ht="19.75" customHeight="1" x14ac:dyDescent="0.25">
      <c r="A1668" s="8">
        <f>20007</f>
        <v>20007</v>
      </c>
      <c r="B1668" s="3" t="s">
        <v>131</v>
      </c>
      <c r="C1668" s="4">
        <v>289.1454</v>
      </c>
      <c r="D1668" s="5">
        <v>668.55889999999999</v>
      </c>
    </row>
    <row r="1669" spans="1:4" s="1" customFormat="1" ht="19.75" customHeight="1" x14ac:dyDescent="0.25">
      <c r="A1669" s="8">
        <f>20007</f>
        <v>20007</v>
      </c>
      <c r="B1669" s="3" t="s">
        <v>36</v>
      </c>
      <c r="C1669" s="6">
        <v>430.11009999999999</v>
      </c>
      <c r="D1669" s="7">
        <v>662.87950000000001</v>
      </c>
    </row>
    <row r="1670" spans="1:4" s="1" customFormat="1" ht="19.75" customHeight="1" x14ac:dyDescent="0.25">
      <c r="A1670" s="8">
        <f>20007</f>
        <v>20007</v>
      </c>
      <c r="B1670" s="3" t="s">
        <v>37</v>
      </c>
      <c r="C1670" s="4">
        <v>29.867799999999999</v>
      </c>
      <c r="D1670" s="5">
        <v>34.483800000000002</v>
      </c>
    </row>
    <row r="1671" spans="1:4" s="1" customFormat="1" ht="19.75" customHeight="1" x14ac:dyDescent="0.25">
      <c r="A1671" s="8">
        <f>20007</f>
        <v>20007</v>
      </c>
      <c r="B1671" s="3" t="s">
        <v>38</v>
      </c>
      <c r="C1671" s="6">
        <v>10.2583</v>
      </c>
      <c r="D1671" s="7">
        <v>13.709199999999999</v>
      </c>
    </row>
    <row r="1672" spans="1:4" s="1" customFormat="1" ht="19.75" customHeight="1" x14ac:dyDescent="0.25">
      <c r="A1672" s="8">
        <f>20007</f>
        <v>20007</v>
      </c>
      <c r="B1672" s="3" t="s">
        <v>40</v>
      </c>
      <c r="C1672" s="4">
        <v>257.22300000000001</v>
      </c>
      <c r="D1672" s="5">
        <v>338.99160000000001</v>
      </c>
    </row>
    <row r="1673" spans="1:4" s="1" customFormat="1" ht="19.75" customHeight="1" x14ac:dyDescent="0.25">
      <c r="A1673" s="8">
        <f>20007</f>
        <v>20007</v>
      </c>
      <c r="B1673" s="3" t="s">
        <v>41</v>
      </c>
      <c r="C1673" s="6">
        <v>137.55600000000001</v>
      </c>
      <c r="D1673" s="7">
        <v>354.75049999999999</v>
      </c>
    </row>
    <row r="1674" spans="1:4" s="1" customFormat="1" ht="19.75" customHeight="1" x14ac:dyDescent="0.25">
      <c r="A1674" s="8">
        <f>20007</f>
        <v>20007</v>
      </c>
      <c r="B1674" s="3" t="s">
        <v>42</v>
      </c>
      <c r="C1674" s="4">
        <v>303.04199999999997</v>
      </c>
      <c r="D1674" s="5">
        <v>440.03399999999999</v>
      </c>
    </row>
    <row r="1675" spans="1:4" s="1" customFormat="1" ht="19.75" customHeight="1" x14ac:dyDescent="0.25">
      <c r="A1675" s="8">
        <f>20007</f>
        <v>20007</v>
      </c>
      <c r="B1675" s="3" t="s">
        <v>43</v>
      </c>
      <c r="C1675" s="6">
        <v>4383.6486999999997</v>
      </c>
      <c r="D1675" s="7">
        <v>5729.4796999999999</v>
      </c>
    </row>
    <row r="1676" spans="1:4" s="1" customFormat="1" ht="19.75" customHeight="1" x14ac:dyDescent="0.25">
      <c r="A1676" s="8">
        <f>20007</f>
        <v>20007</v>
      </c>
      <c r="B1676" s="3" t="s">
        <v>45</v>
      </c>
      <c r="C1676" s="4">
        <v>168.10669999999999</v>
      </c>
      <c r="D1676" s="5">
        <v>319.79969999999997</v>
      </c>
    </row>
    <row r="1677" spans="1:4" s="1" customFormat="1" ht="19.75" customHeight="1" x14ac:dyDescent="0.25">
      <c r="A1677" s="8">
        <f>20007</f>
        <v>20007</v>
      </c>
      <c r="B1677" s="3" t="s">
        <v>46</v>
      </c>
      <c r="C1677" s="6">
        <v>11.755100000000001</v>
      </c>
      <c r="D1677" s="7">
        <v>13.0441</v>
      </c>
    </row>
    <row r="1678" spans="1:4" s="1" customFormat="1" ht="19.75" customHeight="1" x14ac:dyDescent="0.25">
      <c r="A1678" s="8">
        <f>20007</f>
        <v>20007</v>
      </c>
      <c r="B1678" s="3" t="s">
        <v>47</v>
      </c>
      <c r="C1678" s="4">
        <v>381.25529999999998</v>
      </c>
      <c r="D1678" s="5">
        <v>467.32170000000002</v>
      </c>
    </row>
    <row r="1679" spans="1:4" s="1" customFormat="1" ht="19.75" customHeight="1" x14ac:dyDescent="0.25">
      <c r="A1679" s="8">
        <f>20007</f>
        <v>20007</v>
      </c>
      <c r="B1679" s="3" t="s">
        <v>48</v>
      </c>
      <c r="C1679" s="6">
        <v>971.71400000000006</v>
      </c>
      <c r="D1679" s="7">
        <v>1625.3694</v>
      </c>
    </row>
    <row r="1680" spans="1:4" s="1" customFormat="1" ht="19.75" customHeight="1" x14ac:dyDescent="0.25">
      <c r="A1680" s="8">
        <f>20007</f>
        <v>20007</v>
      </c>
      <c r="B1680" s="3" t="s">
        <v>98</v>
      </c>
      <c r="C1680" s="4">
        <v>3507.9254999999998</v>
      </c>
      <c r="D1680" s="5">
        <v>4720.2632000000003</v>
      </c>
    </row>
    <row r="1681" spans="1:4" s="1" customFormat="1" ht="19.75" customHeight="1" x14ac:dyDescent="0.25">
      <c r="A1681" s="8">
        <f>20007</f>
        <v>20007</v>
      </c>
      <c r="B1681" s="3" t="s">
        <v>121</v>
      </c>
      <c r="C1681" s="6">
        <v>16.3386</v>
      </c>
      <c r="D1681" s="7">
        <v>17.298400000000001</v>
      </c>
    </row>
    <row r="1682" spans="1:4" s="1" customFormat="1" ht="19.75" customHeight="1" x14ac:dyDescent="0.25">
      <c r="A1682" s="8">
        <f>20007</f>
        <v>20007</v>
      </c>
      <c r="B1682" s="3" t="s">
        <v>55</v>
      </c>
      <c r="C1682" s="4">
        <v>279.27999999999997</v>
      </c>
      <c r="D1682" s="5">
        <v>451.17140000000001</v>
      </c>
    </row>
    <row r="1683" spans="1:4" s="1" customFormat="1" ht="19.75" customHeight="1" x14ac:dyDescent="0.25">
      <c r="A1683" s="8">
        <f>20007</f>
        <v>20007</v>
      </c>
      <c r="B1683" s="3" t="s">
        <v>132</v>
      </c>
      <c r="C1683" s="6">
        <v>41.493200000000002</v>
      </c>
      <c r="D1683" s="7">
        <v>48.671199999999999</v>
      </c>
    </row>
    <row r="1684" spans="1:4" s="1" customFormat="1" ht="19.75" customHeight="1" x14ac:dyDescent="0.25">
      <c r="A1684" s="8">
        <f>20007</f>
        <v>20007</v>
      </c>
      <c r="B1684" s="3" t="s">
        <v>94</v>
      </c>
      <c r="C1684" s="4">
        <v>5.9345999999999997</v>
      </c>
      <c r="D1684" s="5">
        <v>6.3490000000000002</v>
      </c>
    </row>
    <row r="1685" spans="1:4" s="1" customFormat="1" ht="19.75" customHeight="1" x14ac:dyDescent="0.25">
      <c r="A1685" s="8">
        <f>20007</f>
        <v>20007</v>
      </c>
      <c r="B1685" s="3" t="s">
        <v>59</v>
      </c>
      <c r="C1685" s="6">
        <v>7.6520000000000001</v>
      </c>
      <c r="D1685" s="7">
        <v>15.5632</v>
      </c>
    </row>
    <row r="1686" spans="1:4" s="1" customFormat="1" ht="19.75" customHeight="1" x14ac:dyDescent="0.25">
      <c r="A1686" s="8">
        <f>20007</f>
        <v>20007</v>
      </c>
      <c r="B1686" s="3" t="s">
        <v>60</v>
      </c>
      <c r="C1686" s="4">
        <v>44.4542</v>
      </c>
      <c r="D1686" s="5">
        <v>57.927100000000003</v>
      </c>
    </row>
    <row r="1687" spans="1:4" s="1" customFormat="1" ht="19.75" customHeight="1" x14ac:dyDescent="0.25">
      <c r="A1687" s="8">
        <f>20007</f>
        <v>20007</v>
      </c>
      <c r="B1687" s="3" t="s">
        <v>61</v>
      </c>
      <c r="C1687" s="6">
        <v>127.4104</v>
      </c>
      <c r="D1687" s="7">
        <v>176.58019999999999</v>
      </c>
    </row>
    <row r="1688" spans="1:4" s="1" customFormat="1" ht="19.75" customHeight="1" x14ac:dyDescent="0.25">
      <c r="A1688" s="8">
        <f>20007</f>
        <v>20007</v>
      </c>
      <c r="B1688" s="3" t="s">
        <v>64</v>
      </c>
      <c r="C1688" s="4">
        <v>5.0246000000000004</v>
      </c>
      <c r="D1688" s="5">
        <v>8.9405000000000001</v>
      </c>
    </row>
    <row r="1689" spans="1:4" s="1" customFormat="1" ht="19.75" customHeight="1" x14ac:dyDescent="0.25">
      <c r="A1689" s="8">
        <f>20007</f>
        <v>20007</v>
      </c>
      <c r="B1689" s="3" t="s">
        <v>67</v>
      </c>
      <c r="C1689" s="6">
        <v>36.471899999999998</v>
      </c>
      <c r="D1689" s="7">
        <v>42.828600000000002</v>
      </c>
    </row>
    <row r="1690" spans="1:4" s="1" customFormat="1" ht="19.75" customHeight="1" x14ac:dyDescent="0.25">
      <c r="A1690" s="8">
        <f>20007</f>
        <v>20007</v>
      </c>
      <c r="B1690" s="3" t="s">
        <v>68</v>
      </c>
      <c r="C1690" s="4">
        <v>25.233699999999999</v>
      </c>
      <c r="D1690" s="5">
        <v>28.097100000000001</v>
      </c>
    </row>
    <row r="1691" spans="1:4" s="1" customFormat="1" ht="19.75" customHeight="1" x14ac:dyDescent="0.25">
      <c r="A1691" s="8">
        <f>20007</f>
        <v>20007</v>
      </c>
      <c r="B1691" s="3" t="s">
        <v>69</v>
      </c>
      <c r="C1691" s="6">
        <v>169.06710000000001</v>
      </c>
      <c r="D1691" s="7">
        <v>208.66560000000001</v>
      </c>
    </row>
    <row r="1692" spans="1:4" s="1" customFormat="1" ht="19.75" customHeight="1" x14ac:dyDescent="0.25">
      <c r="A1692" s="8">
        <f>20007</f>
        <v>20007</v>
      </c>
      <c r="B1692" s="3" t="s">
        <v>95</v>
      </c>
      <c r="C1692" s="4">
        <v>1.377</v>
      </c>
      <c r="D1692" s="5">
        <v>4.9149000000000003</v>
      </c>
    </row>
    <row r="1693" spans="1:4" s="1" customFormat="1" ht="19.75" customHeight="1" x14ac:dyDescent="0.25">
      <c r="A1693" s="8">
        <f>20007</f>
        <v>20007</v>
      </c>
      <c r="B1693" s="3" t="s">
        <v>71</v>
      </c>
      <c r="C1693" s="6">
        <v>4046.1772000000001</v>
      </c>
      <c r="D1693" s="7">
        <v>5393.5101999999997</v>
      </c>
    </row>
    <row r="1694" spans="1:4" s="1" customFormat="1" ht="19.75" customHeight="1" x14ac:dyDescent="0.25">
      <c r="A1694" s="8">
        <f>20007</f>
        <v>20007</v>
      </c>
      <c r="B1694" s="3" t="s">
        <v>125</v>
      </c>
      <c r="C1694" s="4">
        <v>2185.1342</v>
      </c>
      <c r="D1694" s="5">
        <v>3046.9173999999998</v>
      </c>
    </row>
    <row r="1695" spans="1:4" s="1" customFormat="1" ht="19.75" customHeight="1" x14ac:dyDescent="0.25">
      <c r="A1695" s="8">
        <f>20006</f>
        <v>20006</v>
      </c>
      <c r="B1695" s="3" t="s">
        <v>112</v>
      </c>
      <c r="C1695" s="6">
        <v>1965.7802999999999</v>
      </c>
      <c r="D1695" s="7">
        <v>2213.6902</v>
      </c>
    </row>
    <row r="1696" spans="1:4" s="1" customFormat="1" ht="19.75" customHeight="1" x14ac:dyDescent="0.25">
      <c r="A1696" s="8">
        <f>20006</f>
        <v>20006</v>
      </c>
      <c r="B1696" s="3" t="s">
        <v>113</v>
      </c>
      <c r="C1696" s="4">
        <v>2748.8744999999999</v>
      </c>
      <c r="D1696" s="5">
        <v>3207.9191999999998</v>
      </c>
    </row>
    <row r="1697" spans="1:4" s="1" customFormat="1" ht="19.75" customHeight="1" x14ac:dyDescent="0.25">
      <c r="A1697" s="8">
        <f>20006</f>
        <v>20006</v>
      </c>
      <c r="B1697" s="3" t="s">
        <v>9</v>
      </c>
      <c r="C1697" s="6">
        <v>35979.5694</v>
      </c>
      <c r="D1697" s="7">
        <v>43414.771099999998</v>
      </c>
    </row>
    <row r="1698" spans="1:4" s="1" customFormat="1" ht="19.75" customHeight="1" x14ac:dyDescent="0.25">
      <c r="A1698" s="8">
        <f>20006</f>
        <v>20006</v>
      </c>
      <c r="B1698" s="3" t="s">
        <v>123</v>
      </c>
      <c r="C1698" s="4">
        <v>1322.6928</v>
      </c>
      <c r="D1698" s="5">
        <v>1567.6120000000001</v>
      </c>
    </row>
    <row r="1699" spans="1:4" s="1" customFormat="1" ht="19.75" customHeight="1" x14ac:dyDescent="0.25">
      <c r="A1699" s="8">
        <f>20006</f>
        <v>20006</v>
      </c>
      <c r="B1699" s="3" t="s">
        <v>114</v>
      </c>
      <c r="C1699" s="6">
        <v>1346.7593999999999</v>
      </c>
      <c r="D1699" s="7">
        <v>1682.4358999999999</v>
      </c>
    </row>
    <row r="1700" spans="1:4" s="1" customFormat="1" ht="19.75" customHeight="1" x14ac:dyDescent="0.25">
      <c r="A1700" s="8">
        <f>20006</f>
        <v>20006</v>
      </c>
      <c r="B1700" s="3" t="s">
        <v>115</v>
      </c>
      <c r="C1700" s="4">
        <v>2461.5371</v>
      </c>
      <c r="D1700" s="5">
        <v>2808.5821000000001</v>
      </c>
    </row>
    <row r="1701" spans="1:4" s="1" customFormat="1" ht="19.75" customHeight="1" x14ac:dyDescent="0.25">
      <c r="A1701" s="8">
        <f>20006</f>
        <v>20006</v>
      </c>
      <c r="B1701" s="3" t="s">
        <v>126</v>
      </c>
      <c r="C1701" s="6">
        <v>1176.7642000000001</v>
      </c>
      <c r="D1701" s="7">
        <v>1281.8181999999999</v>
      </c>
    </row>
    <row r="1702" spans="1:4" s="1" customFormat="1" ht="19.75" customHeight="1" x14ac:dyDescent="0.25">
      <c r="A1702" s="8">
        <f>20006</f>
        <v>20006</v>
      </c>
      <c r="B1702" s="3" t="s">
        <v>116</v>
      </c>
      <c r="C1702" s="4">
        <v>2298.6217999999999</v>
      </c>
      <c r="D1702" s="5">
        <v>2649.7003</v>
      </c>
    </row>
    <row r="1703" spans="1:4" s="1" customFormat="1" ht="19.75" customHeight="1" x14ac:dyDescent="0.25">
      <c r="A1703" s="8">
        <f>20006</f>
        <v>20006</v>
      </c>
      <c r="B1703" s="3" t="s">
        <v>100</v>
      </c>
      <c r="C1703" s="6">
        <v>3767.2435999999998</v>
      </c>
      <c r="D1703" s="7">
        <v>4249.6980999999996</v>
      </c>
    </row>
    <row r="1704" spans="1:4" s="1" customFormat="1" ht="19.75" customHeight="1" x14ac:dyDescent="0.25">
      <c r="A1704" s="8">
        <f>20006</f>
        <v>20006</v>
      </c>
      <c r="B1704" s="3" t="s">
        <v>101</v>
      </c>
      <c r="C1704" s="4">
        <v>2675.1224000000002</v>
      </c>
      <c r="D1704" s="5">
        <v>3066.6752999999999</v>
      </c>
    </row>
    <row r="1705" spans="1:4" s="1" customFormat="1" ht="19.75" customHeight="1" x14ac:dyDescent="0.25">
      <c r="A1705" s="8">
        <f>20006</f>
        <v>20006</v>
      </c>
      <c r="B1705" s="3" t="s">
        <v>0</v>
      </c>
      <c r="C1705" s="6">
        <v>7049.9539000000004</v>
      </c>
      <c r="D1705" s="7">
        <v>8177.3441999999995</v>
      </c>
    </row>
    <row r="1706" spans="1:4" s="1" customFormat="1" ht="19.75" customHeight="1" x14ac:dyDescent="0.25">
      <c r="A1706" s="8">
        <f>20006</f>
        <v>20006</v>
      </c>
      <c r="B1706" s="3" t="s">
        <v>1</v>
      </c>
      <c r="C1706" s="4">
        <v>7028.6976999999997</v>
      </c>
      <c r="D1706" s="5">
        <v>8213.0774999999994</v>
      </c>
    </row>
    <row r="1707" spans="1:4" s="1" customFormat="1" ht="19.75" customHeight="1" x14ac:dyDescent="0.25">
      <c r="A1707" s="8">
        <f>20006</f>
        <v>20006</v>
      </c>
      <c r="B1707" s="3" t="s">
        <v>2</v>
      </c>
      <c r="C1707" s="6">
        <v>2474.4486999999999</v>
      </c>
      <c r="D1707" s="7">
        <v>2526.6925999999999</v>
      </c>
    </row>
    <row r="1708" spans="1:4" s="1" customFormat="1" ht="19.75" customHeight="1" x14ac:dyDescent="0.25">
      <c r="A1708" s="8">
        <f>20006</f>
        <v>20006</v>
      </c>
      <c r="B1708" s="3" t="s">
        <v>3</v>
      </c>
      <c r="C1708" s="4">
        <v>8711.5123000000003</v>
      </c>
      <c r="D1708" s="5">
        <v>10027.081399999999</v>
      </c>
    </row>
    <row r="1709" spans="1:4" s="1" customFormat="1" ht="19.75" customHeight="1" x14ac:dyDescent="0.25">
      <c r="A1709" s="8">
        <f>20006</f>
        <v>20006</v>
      </c>
      <c r="B1709" s="3" t="s">
        <v>4</v>
      </c>
      <c r="C1709" s="6">
        <v>5385.5848999999998</v>
      </c>
      <c r="D1709" s="7">
        <v>5916.4027999999998</v>
      </c>
    </row>
    <row r="1710" spans="1:4" s="1" customFormat="1" ht="19.75" customHeight="1" x14ac:dyDescent="0.25">
      <c r="A1710" s="8">
        <f>20006</f>
        <v>20006</v>
      </c>
      <c r="B1710" s="3" t="s">
        <v>102</v>
      </c>
      <c r="C1710" s="4">
        <v>2626.4731999999999</v>
      </c>
      <c r="D1710" s="5">
        <v>3100.0338999999999</v>
      </c>
    </row>
    <row r="1711" spans="1:4" s="1" customFormat="1" ht="19.75" customHeight="1" x14ac:dyDescent="0.25">
      <c r="A1711" s="8">
        <f>20006</f>
        <v>20006</v>
      </c>
      <c r="B1711" s="3" t="s">
        <v>108</v>
      </c>
      <c r="C1711" s="6">
        <v>1760.126</v>
      </c>
      <c r="D1711" s="7">
        <v>2199.1623</v>
      </c>
    </row>
    <row r="1712" spans="1:4" s="1" customFormat="1" ht="19.75" customHeight="1" x14ac:dyDescent="0.25">
      <c r="A1712" s="8">
        <f>20006</f>
        <v>20006</v>
      </c>
      <c r="B1712" s="3" t="s">
        <v>127</v>
      </c>
      <c r="C1712" s="4">
        <v>5380.7184999999999</v>
      </c>
      <c r="D1712" s="5">
        <v>6661.1677</v>
      </c>
    </row>
    <row r="1713" spans="1:4" s="1" customFormat="1" ht="19.75" customHeight="1" x14ac:dyDescent="0.25">
      <c r="A1713" s="8">
        <f>20006</f>
        <v>20006</v>
      </c>
      <c r="B1713" s="3" t="s">
        <v>5</v>
      </c>
      <c r="C1713" s="6">
        <v>3364.5165999999999</v>
      </c>
      <c r="D1713" s="7">
        <v>3827.7501999999999</v>
      </c>
    </row>
    <row r="1714" spans="1:4" s="1" customFormat="1" ht="19.75" customHeight="1" x14ac:dyDescent="0.25">
      <c r="A1714" s="8">
        <f>20006</f>
        <v>20006</v>
      </c>
      <c r="B1714" s="3" t="s">
        <v>6</v>
      </c>
      <c r="C1714" s="4">
        <v>4406.2772000000004</v>
      </c>
      <c r="D1714" s="5">
        <v>4947.4067999999997</v>
      </c>
    </row>
    <row r="1715" spans="1:4" s="1" customFormat="1" ht="19.75" customHeight="1" x14ac:dyDescent="0.25">
      <c r="A1715" s="8">
        <f>20006</f>
        <v>20006</v>
      </c>
      <c r="B1715" s="3" t="s">
        <v>103</v>
      </c>
      <c r="C1715" s="6">
        <v>4118.9201000000003</v>
      </c>
      <c r="D1715" s="7">
        <v>4671.6895999999997</v>
      </c>
    </row>
    <row r="1716" spans="1:4" s="1" customFormat="1" ht="19.75" customHeight="1" x14ac:dyDescent="0.25">
      <c r="A1716" s="8">
        <f>20006</f>
        <v>20006</v>
      </c>
      <c r="B1716" s="3" t="s">
        <v>7</v>
      </c>
      <c r="C1716" s="4">
        <v>1299.5549000000001</v>
      </c>
      <c r="D1716" s="5">
        <v>1419.5735</v>
      </c>
    </row>
    <row r="1717" spans="1:4" s="1" customFormat="1" ht="19.75" customHeight="1" x14ac:dyDescent="0.25">
      <c r="A1717" s="8">
        <f>20006</f>
        <v>20006</v>
      </c>
      <c r="B1717" s="3" t="s">
        <v>8</v>
      </c>
      <c r="C1717" s="6">
        <v>9584.1519000000008</v>
      </c>
      <c r="D1717" s="7">
        <v>10857.6525</v>
      </c>
    </row>
    <row r="1718" spans="1:4" s="1" customFormat="1" ht="19.75" customHeight="1" x14ac:dyDescent="0.25">
      <c r="A1718" s="8">
        <f>20006</f>
        <v>20006</v>
      </c>
      <c r="B1718" s="3" t="s">
        <v>104</v>
      </c>
      <c r="C1718" s="4">
        <v>4050.4189999999999</v>
      </c>
      <c r="D1718" s="5">
        <v>4612.3849</v>
      </c>
    </row>
    <row r="1719" spans="1:4" s="1" customFormat="1" ht="19.75" customHeight="1" x14ac:dyDescent="0.25">
      <c r="A1719" s="8">
        <f>20006</f>
        <v>20006</v>
      </c>
      <c r="B1719" s="3" t="s">
        <v>10</v>
      </c>
      <c r="C1719" s="6">
        <v>4354.5874000000003</v>
      </c>
      <c r="D1719" s="7">
        <v>4728.6415999999999</v>
      </c>
    </row>
    <row r="1720" spans="1:4" s="1" customFormat="1" ht="19.75" customHeight="1" x14ac:dyDescent="0.25">
      <c r="A1720" s="8">
        <f>20006</f>
        <v>20006</v>
      </c>
      <c r="B1720" s="3" t="s">
        <v>11</v>
      </c>
      <c r="C1720" s="4">
        <v>5863.7083000000002</v>
      </c>
      <c r="D1720" s="5">
        <v>6358.1968999999999</v>
      </c>
    </row>
    <row r="1721" spans="1:4" s="1" customFormat="1" ht="19.75" customHeight="1" x14ac:dyDescent="0.25">
      <c r="A1721" s="8">
        <f>20006</f>
        <v>20006</v>
      </c>
      <c r="B1721" s="3" t="s">
        <v>105</v>
      </c>
      <c r="C1721" s="6">
        <v>2360.0331000000001</v>
      </c>
      <c r="D1721" s="7">
        <v>2796.9906000000001</v>
      </c>
    </row>
    <row r="1722" spans="1:4" s="1" customFormat="1" ht="19.75" customHeight="1" x14ac:dyDescent="0.25">
      <c r="A1722" s="8">
        <f>20006</f>
        <v>20006</v>
      </c>
      <c r="B1722" s="3" t="s">
        <v>109</v>
      </c>
      <c r="C1722" s="4">
        <v>2311.8009999999999</v>
      </c>
      <c r="D1722" s="5">
        <v>2595.5790999999999</v>
      </c>
    </row>
    <row r="1723" spans="1:4" s="1" customFormat="1" ht="19.75" customHeight="1" x14ac:dyDescent="0.25">
      <c r="A1723" s="8">
        <f>20006</f>
        <v>20006</v>
      </c>
      <c r="B1723" s="3" t="s">
        <v>12</v>
      </c>
      <c r="C1723" s="6">
        <v>2888.7903999999999</v>
      </c>
      <c r="D1723" s="7">
        <v>3618.4247999999998</v>
      </c>
    </row>
    <row r="1724" spans="1:4" s="1" customFormat="1" ht="19.75" customHeight="1" x14ac:dyDescent="0.25">
      <c r="A1724" s="8">
        <f>20006</f>
        <v>20006</v>
      </c>
      <c r="B1724" s="3" t="s">
        <v>124</v>
      </c>
      <c r="C1724" s="4">
        <v>540.27200000000005</v>
      </c>
      <c r="D1724" s="5">
        <v>591.74609999999996</v>
      </c>
    </row>
    <row r="1725" spans="1:4" s="1" customFormat="1" ht="19.75" customHeight="1" x14ac:dyDescent="0.25">
      <c r="A1725" s="8">
        <f>20006</f>
        <v>20006</v>
      </c>
      <c r="B1725" s="3" t="s">
        <v>133</v>
      </c>
      <c r="C1725" s="6">
        <v>252.1482</v>
      </c>
      <c r="D1725" s="7">
        <v>277.68430000000001</v>
      </c>
    </row>
    <row r="1726" spans="1:4" s="1" customFormat="1" ht="19.75" customHeight="1" x14ac:dyDescent="0.25">
      <c r="A1726" s="8">
        <f>20006</f>
        <v>20006</v>
      </c>
      <c r="B1726" s="3" t="s">
        <v>128</v>
      </c>
      <c r="C1726" s="4">
        <v>803.2</v>
      </c>
      <c r="D1726" s="5">
        <v>1079.8900000000001</v>
      </c>
    </row>
    <row r="1727" spans="1:4" s="1" customFormat="1" ht="19.75" customHeight="1" x14ac:dyDescent="0.25">
      <c r="A1727" s="8">
        <f>20006</f>
        <v>20006</v>
      </c>
      <c r="B1727" s="3" t="s">
        <v>14</v>
      </c>
      <c r="C1727" s="6">
        <v>326.39109999999999</v>
      </c>
      <c r="D1727" s="7">
        <v>365.92070000000001</v>
      </c>
    </row>
    <row r="1728" spans="1:4" s="1" customFormat="1" ht="19.75" customHeight="1" x14ac:dyDescent="0.25">
      <c r="A1728" s="8">
        <f>20006</f>
        <v>20006</v>
      </c>
      <c r="B1728" s="3" t="s">
        <v>15</v>
      </c>
      <c r="C1728" s="4">
        <v>365.28840000000002</v>
      </c>
      <c r="D1728" s="5">
        <v>405.53129999999999</v>
      </c>
    </row>
    <row r="1729" spans="1:4" s="1" customFormat="1" ht="19.75" customHeight="1" x14ac:dyDescent="0.25">
      <c r="A1729" s="8">
        <f>20006</f>
        <v>20006</v>
      </c>
      <c r="B1729" s="3" t="s">
        <v>16</v>
      </c>
      <c r="C1729" s="6">
        <v>277.14139999999998</v>
      </c>
      <c r="D1729" s="7">
        <v>332.37329999999997</v>
      </c>
    </row>
    <row r="1730" spans="1:4" s="1" customFormat="1" ht="19.75" customHeight="1" x14ac:dyDescent="0.25">
      <c r="A1730" s="8">
        <f>20006</f>
        <v>20006</v>
      </c>
      <c r="B1730" s="3" t="s">
        <v>17</v>
      </c>
      <c r="C1730" s="4">
        <v>209.88650000000001</v>
      </c>
      <c r="D1730" s="5">
        <v>231.79230000000001</v>
      </c>
    </row>
    <row r="1731" spans="1:4" s="1" customFormat="1" ht="19.75" customHeight="1" x14ac:dyDescent="0.25">
      <c r="A1731" s="8">
        <f>20006</f>
        <v>20006</v>
      </c>
      <c r="B1731" s="3" t="s">
        <v>18</v>
      </c>
      <c r="C1731" s="6">
        <v>1436.5289</v>
      </c>
      <c r="D1731" s="7">
        <v>1653.4772</v>
      </c>
    </row>
    <row r="1732" spans="1:4" s="1" customFormat="1" ht="19.75" customHeight="1" x14ac:dyDescent="0.25">
      <c r="A1732" s="8">
        <f>20006</f>
        <v>20006</v>
      </c>
      <c r="B1732" s="3" t="s">
        <v>134</v>
      </c>
      <c r="C1732" s="4">
        <v>12.344799999999999</v>
      </c>
      <c r="D1732" s="5">
        <v>13.0626</v>
      </c>
    </row>
    <row r="1733" spans="1:4" s="1" customFormat="1" ht="19.75" customHeight="1" x14ac:dyDescent="0.25">
      <c r="A1733" s="8">
        <f>20006</f>
        <v>20006</v>
      </c>
      <c r="B1733" s="3" t="s">
        <v>19</v>
      </c>
      <c r="C1733" s="6">
        <v>4475.34</v>
      </c>
      <c r="D1733" s="7">
        <v>5599.32</v>
      </c>
    </row>
    <row r="1734" spans="1:4" s="1" customFormat="1" ht="19.75" customHeight="1" x14ac:dyDescent="0.25">
      <c r="A1734" s="8">
        <f>20006</f>
        <v>20006</v>
      </c>
      <c r="B1734" s="3" t="s">
        <v>20</v>
      </c>
      <c r="C1734" s="4">
        <v>14306.1325</v>
      </c>
      <c r="D1734" s="5">
        <v>18487.018400000001</v>
      </c>
    </row>
    <row r="1735" spans="1:4" s="1" customFormat="1" ht="19.75" customHeight="1" x14ac:dyDescent="0.25">
      <c r="A1735" s="8">
        <f>20006</f>
        <v>20006</v>
      </c>
      <c r="B1735" s="3" t="s">
        <v>23</v>
      </c>
      <c r="C1735" s="6">
        <v>1188.2833000000001</v>
      </c>
      <c r="D1735" s="7">
        <v>1377.1171999999999</v>
      </c>
    </row>
    <row r="1736" spans="1:4" s="1" customFormat="1" ht="19.75" customHeight="1" x14ac:dyDescent="0.25">
      <c r="A1736" s="8">
        <f>20006</f>
        <v>20006</v>
      </c>
      <c r="B1736" s="3" t="s">
        <v>120</v>
      </c>
      <c r="C1736" s="4">
        <v>1222.4348</v>
      </c>
      <c r="D1736" s="5">
        <v>1361.6063999999999</v>
      </c>
    </row>
    <row r="1737" spans="1:4" s="1" customFormat="1" ht="19.75" customHeight="1" x14ac:dyDescent="0.25">
      <c r="A1737" s="8">
        <f>20006</f>
        <v>20006</v>
      </c>
      <c r="B1737" s="3" t="s">
        <v>24</v>
      </c>
      <c r="C1737" s="6">
        <v>1706.2524000000001</v>
      </c>
      <c r="D1737" s="7">
        <v>1817.1053999999999</v>
      </c>
    </row>
    <row r="1738" spans="1:4" s="1" customFormat="1" ht="19.75" customHeight="1" x14ac:dyDescent="0.25">
      <c r="A1738" s="8">
        <f>20006</f>
        <v>20006</v>
      </c>
      <c r="B1738" s="3" t="s">
        <v>25</v>
      </c>
      <c r="C1738" s="4">
        <v>1018.0373</v>
      </c>
      <c r="D1738" s="5">
        <v>1184.8388</v>
      </c>
    </row>
    <row r="1739" spans="1:4" s="1" customFormat="1" ht="19.75" customHeight="1" x14ac:dyDescent="0.25">
      <c r="A1739" s="8">
        <f>20006</f>
        <v>20006</v>
      </c>
      <c r="B1739" s="3" t="s">
        <v>26</v>
      </c>
      <c r="C1739" s="6">
        <v>650.85389999999995</v>
      </c>
      <c r="D1739" s="7">
        <v>771.45370000000003</v>
      </c>
    </row>
    <row r="1740" spans="1:4" s="1" customFormat="1" ht="19.75" customHeight="1" x14ac:dyDescent="0.25">
      <c r="A1740" s="8">
        <f>20006</f>
        <v>20006</v>
      </c>
      <c r="B1740" s="3" t="s">
        <v>27</v>
      </c>
      <c r="C1740" s="4">
        <v>718.88850000000002</v>
      </c>
      <c r="D1740" s="5">
        <v>936.95410000000004</v>
      </c>
    </row>
    <row r="1741" spans="1:4" s="1" customFormat="1" ht="19.75" customHeight="1" x14ac:dyDescent="0.25">
      <c r="A1741" s="8">
        <f>20006</f>
        <v>20006</v>
      </c>
      <c r="B1741" s="3" t="s">
        <v>106</v>
      </c>
      <c r="C1741" s="6">
        <v>322.0564</v>
      </c>
      <c r="D1741" s="7">
        <v>357.00040000000001</v>
      </c>
    </row>
    <row r="1742" spans="1:4" s="1" customFormat="1" ht="19.75" customHeight="1" x14ac:dyDescent="0.25">
      <c r="A1742" s="8">
        <f>20006</f>
        <v>20006</v>
      </c>
      <c r="B1742" s="3" t="s">
        <v>129</v>
      </c>
      <c r="C1742" s="4">
        <v>184.06319999999999</v>
      </c>
      <c r="D1742" s="5">
        <v>199.8545</v>
      </c>
    </row>
    <row r="1743" spans="1:4" s="1" customFormat="1" ht="19.75" customHeight="1" x14ac:dyDescent="0.25">
      <c r="A1743" s="8">
        <f>20006</f>
        <v>20006</v>
      </c>
      <c r="B1743" s="3" t="s">
        <v>28</v>
      </c>
      <c r="C1743" s="6">
        <v>92.082700000000003</v>
      </c>
      <c r="D1743" s="7">
        <v>104.8295</v>
      </c>
    </row>
    <row r="1744" spans="1:4" s="1" customFormat="1" ht="19.75" customHeight="1" x14ac:dyDescent="0.25">
      <c r="A1744" s="8">
        <f>20006</f>
        <v>20006</v>
      </c>
      <c r="B1744" s="3" t="s">
        <v>29</v>
      </c>
      <c r="C1744" s="4">
        <v>70.238100000000003</v>
      </c>
      <c r="D1744" s="5">
        <v>76.606899999999996</v>
      </c>
    </row>
    <row r="1745" spans="1:4" s="1" customFormat="1" ht="19.75" customHeight="1" x14ac:dyDescent="0.25">
      <c r="A1745" s="8">
        <f>20006</f>
        <v>20006</v>
      </c>
      <c r="B1745" s="3" t="s">
        <v>130</v>
      </c>
      <c r="C1745" s="6">
        <v>131.04470000000001</v>
      </c>
      <c r="D1745" s="7">
        <v>131.32589999999999</v>
      </c>
    </row>
    <row r="1746" spans="1:4" s="1" customFormat="1" ht="19.75" customHeight="1" x14ac:dyDescent="0.25">
      <c r="A1746" s="8">
        <f>20006</f>
        <v>20006</v>
      </c>
      <c r="B1746" s="3" t="s">
        <v>122</v>
      </c>
      <c r="C1746" s="4">
        <v>36.219299999999997</v>
      </c>
      <c r="D1746" s="5">
        <v>46.657400000000003</v>
      </c>
    </row>
    <row r="1747" spans="1:4" s="1" customFormat="1" ht="19.75" customHeight="1" x14ac:dyDescent="0.25">
      <c r="A1747" s="8">
        <f>20006</f>
        <v>20006</v>
      </c>
      <c r="B1747" s="3" t="s">
        <v>30</v>
      </c>
      <c r="C1747" s="6">
        <v>761.32249999999999</v>
      </c>
      <c r="D1747" s="7">
        <v>833.58870000000002</v>
      </c>
    </row>
    <row r="1748" spans="1:4" s="1" customFormat="1" ht="19.75" customHeight="1" x14ac:dyDescent="0.25">
      <c r="A1748" s="8">
        <f>20006</f>
        <v>20006</v>
      </c>
      <c r="B1748" s="3" t="s">
        <v>31</v>
      </c>
      <c r="C1748" s="4">
        <v>548.32249999999999</v>
      </c>
      <c r="D1748" s="5">
        <v>626.34389999999996</v>
      </c>
    </row>
    <row r="1749" spans="1:4" s="1" customFormat="1" ht="19.75" customHeight="1" x14ac:dyDescent="0.25">
      <c r="A1749" s="8">
        <f>20006</f>
        <v>20006</v>
      </c>
      <c r="B1749" s="3" t="s">
        <v>135</v>
      </c>
      <c r="C1749" s="6">
        <v>486.26170000000002</v>
      </c>
      <c r="D1749" s="7">
        <v>542.4556</v>
      </c>
    </row>
    <row r="1750" spans="1:4" s="1" customFormat="1" ht="19.75" customHeight="1" x14ac:dyDescent="0.25">
      <c r="A1750" s="8">
        <f>20006</f>
        <v>20006</v>
      </c>
      <c r="B1750" s="3" t="s">
        <v>32</v>
      </c>
      <c r="C1750" s="4">
        <v>192.80279999999999</v>
      </c>
      <c r="D1750" s="5">
        <v>289.91899999999998</v>
      </c>
    </row>
    <row r="1751" spans="1:4" s="1" customFormat="1" ht="19.75" customHeight="1" x14ac:dyDescent="0.25">
      <c r="A1751" s="8">
        <f>20006</f>
        <v>20006</v>
      </c>
      <c r="B1751" s="3" t="s">
        <v>92</v>
      </c>
      <c r="C1751" s="6">
        <v>3.7477</v>
      </c>
      <c r="D1751" s="7">
        <v>7.7984999999999998</v>
      </c>
    </row>
    <row r="1752" spans="1:4" s="1" customFormat="1" ht="19.75" customHeight="1" x14ac:dyDescent="0.25">
      <c r="A1752" s="8">
        <f>20006</f>
        <v>20006</v>
      </c>
      <c r="B1752" s="3" t="s">
        <v>97</v>
      </c>
      <c r="C1752" s="4">
        <v>111.3711</v>
      </c>
      <c r="D1752" s="5">
        <v>118.9854</v>
      </c>
    </row>
    <row r="1753" spans="1:4" s="1" customFormat="1" ht="19.75" customHeight="1" x14ac:dyDescent="0.25">
      <c r="A1753" s="8">
        <f>20006</f>
        <v>20006</v>
      </c>
      <c r="B1753" s="3" t="s">
        <v>131</v>
      </c>
      <c r="C1753" s="6">
        <v>259.22390000000001</v>
      </c>
      <c r="D1753" s="7">
        <v>562.77499999999998</v>
      </c>
    </row>
    <row r="1754" spans="1:4" s="1" customFormat="1" ht="19.75" customHeight="1" x14ac:dyDescent="0.25">
      <c r="A1754" s="8">
        <f>20006</f>
        <v>20006</v>
      </c>
      <c r="B1754" s="3" t="s">
        <v>36</v>
      </c>
      <c r="C1754" s="4">
        <v>347.55119999999999</v>
      </c>
      <c r="D1754" s="5">
        <v>545.9171</v>
      </c>
    </row>
    <row r="1755" spans="1:4" s="1" customFormat="1" ht="19.75" customHeight="1" x14ac:dyDescent="0.25">
      <c r="A1755" s="8">
        <f>20006</f>
        <v>20006</v>
      </c>
      <c r="B1755" s="3" t="s">
        <v>37</v>
      </c>
      <c r="C1755" s="6">
        <v>28.936499999999999</v>
      </c>
      <c r="D1755" s="7">
        <v>33.572400000000002</v>
      </c>
    </row>
    <row r="1756" spans="1:4" s="1" customFormat="1" ht="19.75" customHeight="1" x14ac:dyDescent="0.25">
      <c r="A1756" s="8">
        <f>20006</f>
        <v>20006</v>
      </c>
      <c r="B1756" s="3" t="s">
        <v>38</v>
      </c>
      <c r="C1756" s="4">
        <v>9.7310999999999996</v>
      </c>
      <c r="D1756" s="5">
        <v>14.0418</v>
      </c>
    </row>
    <row r="1757" spans="1:4" s="1" customFormat="1" ht="19.75" customHeight="1" x14ac:dyDescent="0.25">
      <c r="A1757" s="8">
        <f>20006</f>
        <v>20006</v>
      </c>
      <c r="B1757" s="3" t="s">
        <v>40</v>
      </c>
      <c r="C1757" s="6">
        <v>183.76920000000001</v>
      </c>
      <c r="D1757" s="7">
        <v>232.74379999999999</v>
      </c>
    </row>
    <row r="1758" spans="1:4" s="1" customFormat="1" ht="19.75" customHeight="1" x14ac:dyDescent="0.25">
      <c r="A1758" s="8">
        <f>20006</f>
        <v>20006</v>
      </c>
      <c r="B1758" s="3" t="s">
        <v>41</v>
      </c>
      <c r="C1758" s="4">
        <v>65.649699999999996</v>
      </c>
      <c r="D1758" s="5">
        <v>299.57850000000002</v>
      </c>
    </row>
    <row r="1759" spans="1:4" s="1" customFormat="1" ht="19.75" customHeight="1" x14ac:dyDescent="0.25">
      <c r="A1759" s="8">
        <f>20006</f>
        <v>20006</v>
      </c>
      <c r="B1759" s="3" t="s">
        <v>42</v>
      </c>
      <c r="C1759" s="6">
        <v>223.18719999999999</v>
      </c>
      <c r="D1759" s="7">
        <v>296.0856</v>
      </c>
    </row>
    <row r="1760" spans="1:4" s="1" customFormat="1" ht="19.75" customHeight="1" x14ac:dyDescent="0.25">
      <c r="A1760" s="8">
        <f>20006</f>
        <v>20006</v>
      </c>
      <c r="B1760" s="3" t="s">
        <v>43</v>
      </c>
      <c r="C1760" s="4">
        <v>3064.3886000000002</v>
      </c>
      <c r="D1760" s="5">
        <v>4107.4552000000003</v>
      </c>
    </row>
    <row r="1761" spans="1:4" s="1" customFormat="1" ht="19.75" customHeight="1" x14ac:dyDescent="0.25">
      <c r="A1761" s="8">
        <f>20006</f>
        <v>20006</v>
      </c>
      <c r="B1761" s="3" t="s">
        <v>45</v>
      </c>
      <c r="C1761" s="6">
        <v>129.80799999999999</v>
      </c>
      <c r="D1761" s="7">
        <v>236.92089999999999</v>
      </c>
    </row>
    <row r="1762" spans="1:4" s="1" customFormat="1" ht="19.75" customHeight="1" x14ac:dyDescent="0.25">
      <c r="A1762" s="8">
        <f>20006</f>
        <v>20006</v>
      </c>
      <c r="B1762" s="3" t="s">
        <v>46</v>
      </c>
      <c r="C1762" s="4">
        <v>8.7132000000000005</v>
      </c>
      <c r="D1762" s="5">
        <v>9.6483000000000008</v>
      </c>
    </row>
    <row r="1763" spans="1:4" s="1" customFormat="1" ht="19.75" customHeight="1" x14ac:dyDescent="0.25">
      <c r="A1763" s="8">
        <f>20006</f>
        <v>20006</v>
      </c>
      <c r="B1763" s="3" t="s">
        <v>47</v>
      </c>
      <c r="C1763" s="6">
        <v>154.44489999999999</v>
      </c>
      <c r="D1763" s="7">
        <v>145.62459999999999</v>
      </c>
    </row>
    <row r="1764" spans="1:4" s="1" customFormat="1" ht="19.75" customHeight="1" x14ac:dyDescent="0.25">
      <c r="A1764" s="8">
        <f>20006</f>
        <v>20006</v>
      </c>
      <c r="B1764" s="3" t="s">
        <v>48</v>
      </c>
      <c r="C1764" s="4">
        <v>603.73500000000001</v>
      </c>
      <c r="D1764" s="5">
        <v>1158.9725000000001</v>
      </c>
    </row>
    <row r="1765" spans="1:4" s="1" customFormat="1" ht="19.75" customHeight="1" x14ac:dyDescent="0.25">
      <c r="A1765" s="8">
        <f>20006</f>
        <v>20006</v>
      </c>
      <c r="B1765" s="3" t="s">
        <v>98</v>
      </c>
      <c r="C1765" s="6">
        <v>2201.9337</v>
      </c>
      <c r="D1765" s="7">
        <v>3130.1907999999999</v>
      </c>
    </row>
    <row r="1766" spans="1:4" s="1" customFormat="1" ht="19.75" customHeight="1" x14ac:dyDescent="0.25">
      <c r="A1766" s="8">
        <f>20006</f>
        <v>20006</v>
      </c>
      <c r="B1766" s="3" t="s">
        <v>121</v>
      </c>
      <c r="C1766" s="4">
        <v>16.910799999999998</v>
      </c>
      <c r="D1766" s="5">
        <v>16.184999999999999</v>
      </c>
    </row>
    <row r="1767" spans="1:4" s="1" customFormat="1" ht="19.75" customHeight="1" x14ac:dyDescent="0.25">
      <c r="A1767" s="8">
        <f>20006</f>
        <v>20006</v>
      </c>
      <c r="B1767" s="3" t="s">
        <v>55</v>
      </c>
      <c r="C1767" s="6">
        <v>125.7966</v>
      </c>
      <c r="D1767" s="7">
        <v>226.62260000000001</v>
      </c>
    </row>
    <row r="1768" spans="1:4" s="1" customFormat="1" ht="19.75" customHeight="1" x14ac:dyDescent="0.25">
      <c r="A1768" s="8">
        <f>20006</f>
        <v>20006</v>
      </c>
      <c r="B1768" s="3" t="s">
        <v>132</v>
      </c>
      <c r="C1768" s="4">
        <v>36.978299999999997</v>
      </c>
      <c r="D1768" s="5">
        <v>42.015500000000003</v>
      </c>
    </row>
    <row r="1769" spans="1:4" s="1" customFormat="1" ht="19.75" customHeight="1" x14ac:dyDescent="0.25">
      <c r="A1769" s="8">
        <f>20006</f>
        <v>20006</v>
      </c>
      <c r="B1769" s="3" t="s">
        <v>94</v>
      </c>
      <c r="C1769" s="6">
        <v>4.4934000000000003</v>
      </c>
      <c r="D1769" s="7">
        <v>10.6488</v>
      </c>
    </row>
    <row r="1770" spans="1:4" s="1" customFormat="1" ht="19.75" customHeight="1" x14ac:dyDescent="0.25">
      <c r="A1770" s="8">
        <f>20006</f>
        <v>20006</v>
      </c>
      <c r="B1770" s="3" t="s">
        <v>59</v>
      </c>
      <c r="C1770" s="4">
        <v>20.433199999999999</v>
      </c>
      <c r="D1770" s="5">
        <v>27.332999999999998</v>
      </c>
    </row>
    <row r="1771" spans="1:4" s="1" customFormat="1" ht="19.75" customHeight="1" x14ac:dyDescent="0.25">
      <c r="A1771" s="8">
        <f>20006</f>
        <v>20006</v>
      </c>
      <c r="B1771" s="3" t="s">
        <v>60</v>
      </c>
      <c r="C1771" s="6">
        <v>23.931999999999999</v>
      </c>
      <c r="D1771" s="7">
        <v>31.788900000000002</v>
      </c>
    </row>
    <row r="1772" spans="1:4" s="1" customFormat="1" ht="19.75" customHeight="1" x14ac:dyDescent="0.25">
      <c r="A1772" s="8">
        <f>20006</f>
        <v>20006</v>
      </c>
      <c r="B1772" s="3" t="s">
        <v>61</v>
      </c>
      <c r="C1772" s="4">
        <v>79.011300000000006</v>
      </c>
      <c r="D1772" s="5">
        <v>115.1725</v>
      </c>
    </row>
    <row r="1773" spans="1:4" s="1" customFormat="1" ht="19.75" customHeight="1" x14ac:dyDescent="0.25">
      <c r="A1773" s="8">
        <f>20006</f>
        <v>20006</v>
      </c>
      <c r="B1773" s="3" t="s">
        <v>64</v>
      </c>
      <c r="C1773" s="6">
        <v>3.9863</v>
      </c>
      <c r="D1773" s="7">
        <v>4.6546000000000003</v>
      </c>
    </row>
    <row r="1774" spans="1:4" s="1" customFormat="1" ht="19.75" customHeight="1" x14ac:dyDescent="0.25">
      <c r="A1774" s="8">
        <f>20006</f>
        <v>20006</v>
      </c>
      <c r="B1774" s="3" t="s">
        <v>67</v>
      </c>
      <c r="C1774" s="4">
        <v>39.658499999999997</v>
      </c>
      <c r="D1774" s="5">
        <v>41.444400000000002</v>
      </c>
    </row>
    <row r="1775" spans="1:4" s="1" customFormat="1" ht="19.75" customHeight="1" x14ac:dyDescent="0.25">
      <c r="A1775" s="8">
        <f>20006</f>
        <v>20006</v>
      </c>
      <c r="B1775" s="3" t="s">
        <v>68</v>
      </c>
      <c r="C1775" s="6">
        <v>16.788</v>
      </c>
      <c r="D1775" s="7">
        <v>21.433199999999999</v>
      </c>
    </row>
    <row r="1776" spans="1:4" s="1" customFormat="1" ht="19.75" customHeight="1" x14ac:dyDescent="0.25">
      <c r="A1776" s="8">
        <f>20006</f>
        <v>20006</v>
      </c>
      <c r="B1776" s="3" t="s">
        <v>69</v>
      </c>
      <c r="C1776" s="4">
        <v>92.854200000000006</v>
      </c>
      <c r="D1776" s="5">
        <v>116.68559999999999</v>
      </c>
    </row>
    <row r="1777" spans="1:4" s="1" customFormat="1" ht="19.75" customHeight="1" x14ac:dyDescent="0.25">
      <c r="A1777" s="8">
        <f>20006</f>
        <v>20006</v>
      </c>
      <c r="B1777" s="3" t="s">
        <v>95</v>
      </c>
      <c r="C1777" s="6">
        <v>1.3322000000000001</v>
      </c>
      <c r="D1777" s="7">
        <v>5.0968</v>
      </c>
    </row>
    <row r="1778" spans="1:4" s="1" customFormat="1" ht="19.75" customHeight="1" x14ac:dyDescent="0.25">
      <c r="A1778" s="8">
        <f>20006</f>
        <v>20006</v>
      </c>
      <c r="B1778" s="3" t="s">
        <v>71</v>
      </c>
      <c r="C1778" s="4">
        <v>3056.3503000000001</v>
      </c>
      <c r="D1778" s="5">
        <v>4114.0879999999997</v>
      </c>
    </row>
    <row r="1779" spans="1:4" s="1" customFormat="1" ht="19.75" customHeight="1" x14ac:dyDescent="0.25">
      <c r="A1779" s="8">
        <f>20006</f>
        <v>20006</v>
      </c>
      <c r="B1779" s="3" t="s">
        <v>125</v>
      </c>
      <c r="C1779" s="6">
        <v>1376.1083000000001</v>
      </c>
      <c r="D1779" s="7">
        <v>1988.5902000000001</v>
      </c>
    </row>
    <row r="1780" spans="1:4" s="1" customFormat="1" ht="19.75" customHeight="1" x14ac:dyDescent="0.25">
      <c r="A1780" s="8">
        <f>2005</f>
        <v>2005</v>
      </c>
      <c r="B1780" s="3" t="s">
        <v>112</v>
      </c>
      <c r="C1780" s="4">
        <v>1740.8903</v>
      </c>
      <c r="D1780" s="5">
        <v>2224.0081</v>
      </c>
    </row>
    <row r="1781" spans="1:4" s="1" customFormat="1" ht="19.75" customHeight="1" x14ac:dyDescent="0.25">
      <c r="A1781" s="8">
        <f>2005</f>
        <v>2005</v>
      </c>
      <c r="B1781" s="3" t="s">
        <v>113</v>
      </c>
      <c r="C1781" s="6">
        <v>2325.0884000000001</v>
      </c>
      <c r="D1781" s="7">
        <v>2746.7253999999998</v>
      </c>
    </row>
    <row r="1782" spans="1:4" s="1" customFormat="1" ht="19.75" customHeight="1" x14ac:dyDescent="0.25">
      <c r="A1782" s="8">
        <f>2005</f>
        <v>2005</v>
      </c>
      <c r="B1782" s="3" t="s">
        <v>9</v>
      </c>
      <c r="C1782" s="4">
        <v>32428.002</v>
      </c>
      <c r="D1782" s="5">
        <v>39547.905899999998</v>
      </c>
    </row>
    <row r="1783" spans="1:4" s="1" customFormat="1" ht="19.75" customHeight="1" x14ac:dyDescent="0.25">
      <c r="A1783" s="8">
        <f>2005</f>
        <v>2005</v>
      </c>
      <c r="B1783" s="3" t="s">
        <v>123</v>
      </c>
      <c r="C1783" s="6">
        <v>1109.8309999999999</v>
      </c>
      <c r="D1783" s="7">
        <v>1288.1007</v>
      </c>
    </row>
    <row r="1784" spans="1:4" s="1" customFormat="1" ht="19.75" customHeight="1" x14ac:dyDescent="0.25">
      <c r="A1784" s="8">
        <f>2005</f>
        <v>2005</v>
      </c>
      <c r="B1784" s="3" t="s">
        <v>114</v>
      </c>
      <c r="C1784" s="4">
        <v>1173.8756000000001</v>
      </c>
      <c r="D1784" s="5">
        <v>1553.787</v>
      </c>
    </row>
    <row r="1785" spans="1:4" s="1" customFormat="1" ht="19.75" customHeight="1" x14ac:dyDescent="0.25">
      <c r="A1785" s="8">
        <f>2005</f>
        <v>2005</v>
      </c>
      <c r="B1785" s="3" t="s">
        <v>115</v>
      </c>
      <c r="C1785" s="6">
        <v>2133.2280999999998</v>
      </c>
      <c r="D1785" s="7">
        <v>2488.9319</v>
      </c>
    </row>
    <row r="1786" spans="1:4" s="1" customFormat="1" ht="19.75" customHeight="1" x14ac:dyDescent="0.25">
      <c r="A1786" s="8">
        <f>2005</f>
        <v>2005</v>
      </c>
      <c r="B1786" s="3" t="s">
        <v>126</v>
      </c>
      <c r="C1786" s="4">
        <v>1132.2183</v>
      </c>
      <c r="D1786" s="5">
        <v>1265.2745</v>
      </c>
    </row>
    <row r="1787" spans="1:4" s="1" customFormat="1" ht="19.75" customHeight="1" x14ac:dyDescent="0.25">
      <c r="A1787" s="8">
        <f>2005</f>
        <v>2005</v>
      </c>
      <c r="B1787" s="3" t="s">
        <v>116</v>
      </c>
      <c r="C1787" s="6">
        <v>2008.3225</v>
      </c>
      <c r="D1787" s="7">
        <v>2416.8416999999999</v>
      </c>
    </row>
    <row r="1788" spans="1:4" s="1" customFormat="1" ht="19.75" customHeight="1" x14ac:dyDescent="0.25">
      <c r="A1788" s="8">
        <f>2005</f>
        <v>2005</v>
      </c>
      <c r="B1788" s="3" t="s">
        <v>100</v>
      </c>
      <c r="C1788" s="4">
        <v>3185.5988000000002</v>
      </c>
      <c r="D1788" s="5">
        <v>3825.4771999999998</v>
      </c>
    </row>
    <row r="1789" spans="1:4" s="1" customFormat="1" ht="19.75" customHeight="1" x14ac:dyDescent="0.25">
      <c r="A1789" s="8">
        <f>2005</f>
        <v>2005</v>
      </c>
      <c r="B1789" s="3" t="s">
        <v>101</v>
      </c>
      <c r="C1789" s="6">
        <v>2281.9594999999999</v>
      </c>
      <c r="D1789" s="7">
        <v>3035.3096999999998</v>
      </c>
    </row>
    <row r="1790" spans="1:4" s="1" customFormat="1" ht="19.75" customHeight="1" x14ac:dyDescent="0.25">
      <c r="A1790" s="8">
        <f>2005</f>
        <v>2005</v>
      </c>
      <c r="B1790" s="3" t="s">
        <v>0</v>
      </c>
      <c r="C1790" s="4">
        <v>6431.4178000000002</v>
      </c>
      <c r="D1790" s="5">
        <v>7736.2456000000002</v>
      </c>
    </row>
    <row r="1791" spans="1:4" s="1" customFormat="1" ht="19.75" customHeight="1" x14ac:dyDescent="0.25">
      <c r="A1791" s="8">
        <f>2005</f>
        <v>2005</v>
      </c>
      <c r="B1791" s="3" t="s">
        <v>1</v>
      </c>
      <c r="C1791" s="6">
        <v>6031.5267000000003</v>
      </c>
      <c r="D1791" s="7">
        <v>7187.3217000000004</v>
      </c>
    </row>
    <row r="1792" spans="1:4" s="1" customFormat="1" ht="19.75" customHeight="1" x14ac:dyDescent="0.25">
      <c r="A1792" s="8">
        <f>2005</f>
        <v>2005</v>
      </c>
      <c r="B1792" s="3" t="s">
        <v>2</v>
      </c>
      <c r="C1792" s="4">
        <v>2367.6912000000002</v>
      </c>
      <c r="D1792" s="5">
        <v>2752.9265</v>
      </c>
    </row>
    <row r="1793" spans="1:4" s="1" customFormat="1" ht="19.75" customHeight="1" x14ac:dyDescent="0.25">
      <c r="A1793" s="8">
        <f>2005</f>
        <v>2005</v>
      </c>
      <c r="B1793" s="3" t="s">
        <v>3</v>
      </c>
      <c r="C1793" s="6">
        <v>7571.9687999999996</v>
      </c>
      <c r="D1793" s="7">
        <v>9115.7960999999996</v>
      </c>
    </row>
    <row r="1794" spans="1:4" s="1" customFormat="1" ht="19.75" customHeight="1" x14ac:dyDescent="0.25">
      <c r="A1794" s="8">
        <f>2005</f>
        <v>2005</v>
      </c>
      <c r="B1794" s="3" t="s">
        <v>4</v>
      </c>
      <c r="C1794" s="4">
        <v>5204.8761999999997</v>
      </c>
      <c r="D1794" s="5">
        <v>6125.0081</v>
      </c>
    </row>
    <row r="1795" spans="1:4" s="1" customFormat="1" ht="19.75" customHeight="1" x14ac:dyDescent="0.25">
      <c r="A1795" s="8">
        <f>2005</f>
        <v>2005</v>
      </c>
      <c r="B1795" s="3" t="s">
        <v>102</v>
      </c>
      <c r="C1795" s="6">
        <v>2249.8036999999999</v>
      </c>
      <c r="D1795" s="7">
        <v>2814.3724999999999</v>
      </c>
    </row>
    <row r="1796" spans="1:4" s="1" customFormat="1" ht="19.75" customHeight="1" x14ac:dyDescent="0.25">
      <c r="A1796" s="8">
        <f>2005</f>
        <v>2005</v>
      </c>
      <c r="B1796" s="3" t="s">
        <v>108</v>
      </c>
      <c r="C1796" s="4">
        <v>1725.1758</v>
      </c>
      <c r="D1796" s="5">
        <v>2036.3561999999999</v>
      </c>
    </row>
    <row r="1797" spans="1:4" s="1" customFormat="1" ht="19.75" customHeight="1" x14ac:dyDescent="0.25">
      <c r="A1797" s="8">
        <f>2005</f>
        <v>2005</v>
      </c>
      <c r="B1797" s="3" t="s">
        <v>127</v>
      </c>
      <c r="C1797" s="6">
        <v>2655.7238000000002</v>
      </c>
      <c r="D1797" s="7">
        <v>3282.8478</v>
      </c>
    </row>
    <row r="1798" spans="1:4" s="1" customFormat="1" ht="19.75" customHeight="1" x14ac:dyDescent="0.25">
      <c r="A1798" s="8">
        <f>2005</f>
        <v>2005</v>
      </c>
      <c r="B1798" s="3" t="s">
        <v>5</v>
      </c>
      <c r="C1798" s="4">
        <v>2870.6554000000001</v>
      </c>
      <c r="D1798" s="5">
        <v>3439.4722999999999</v>
      </c>
    </row>
    <row r="1799" spans="1:4" s="1" customFormat="1" ht="19.75" customHeight="1" x14ac:dyDescent="0.25">
      <c r="A1799" s="8">
        <f>2005</f>
        <v>2005</v>
      </c>
      <c r="B1799" s="3" t="s">
        <v>6</v>
      </c>
      <c r="C1799" s="6">
        <v>3951.0475999999999</v>
      </c>
      <c r="D1799" s="7">
        <v>4750.6046999999999</v>
      </c>
    </row>
    <row r="1800" spans="1:4" s="1" customFormat="1" ht="19.75" customHeight="1" x14ac:dyDescent="0.25">
      <c r="A1800" s="8">
        <f>2005</f>
        <v>2005</v>
      </c>
      <c r="B1800" s="3" t="s">
        <v>103</v>
      </c>
      <c r="C1800" s="4">
        <v>3571.8993999999998</v>
      </c>
      <c r="D1800" s="5">
        <v>4077.1035000000002</v>
      </c>
    </row>
    <row r="1801" spans="1:4" s="1" customFormat="1" ht="19.75" customHeight="1" x14ac:dyDescent="0.25">
      <c r="A1801" s="8">
        <f>2005</f>
        <v>2005</v>
      </c>
      <c r="B1801" s="3" t="s">
        <v>7</v>
      </c>
      <c r="C1801" s="6">
        <v>1248.5831000000001</v>
      </c>
      <c r="D1801" s="7">
        <v>1504.7218</v>
      </c>
    </row>
    <row r="1802" spans="1:4" s="1" customFormat="1" ht="19.75" customHeight="1" x14ac:dyDescent="0.25">
      <c r="A1802" s="8">
        <f>2005</f>
        <v>2005</v>
      </c>
      <c r="B1802" s="3" t="s">
        <v>8</v>
      </c>
      <c r="C1802" s="4">
        <v>8459.8508000000002</v>
      </c>
      <c r="D1802" s="5">
        <v>10135.5293</v>
      </c>
    </row>
    <row r="1803" spans="1:4" s="1" customFormat="1" ht="19.75" customHeight="1" x14ac:dyDescent="0.25">
      <c r="A1803" s="8">
        <f>2005</f>
        <v>2005</v>
      </c>
      <c r="B1803" s="3" t="s">
        <v>104</v>
      </c>
      <c r="C1803" s="6">
        <v>3757.6237000000001</v>
      </c>
      <c r="D1803" s="7">
        <v>4348.0438999999997</v>
      </c>
    </row>
    <row r="1804" spans="1:4" s="1" customFormat="1" ht="19.75" customHeight="1" x14ac:dyDescent="0.25">
      <c r="A1804" s="8">
        <f>2005</f>
        <v>2005</v>
      </c>
      <c r="B1804" s="3" t="s">
        <v>10</v>
      </c>
      <c r="C1804" s="4">
        <v>3548.7253999999998</v>
      </c>
      <c r="D1804" s="5">
        <v>4064.2896999999998</v>
      </c>
    </row>
    <row r="1805" spans="1:4" s="1" customFormat="1" ht="19.75" customHeight="1" x14ac:dyDescent="0.25">
      <c r="A1805" s="8">
        <f>2005</f>
        <v>2005</v>
      </c>
      <c r="B1805" s="3" t="s">
        <v>11</v>
      </c>
      <c r="C1805" s="6">
        <v>4969.7920000000004</v>
      </c>
      <c r="D1805" s="7">
        <v>5735.8918000000003</v>
      </c>
    </row>
    <row r="1806" spans="1:4" s="1" customFormat="1" ht="19.75" customHeight="1" x14ac:dyDescent="0.25">
      <c r="A1806" s="8">
        <f>2005</f>
        <v>2005</v>
      </c>
      <c r="B1806" s="3" t="s">
        <v>105</v>
      </c>
      <c r="C1806" s="4">
        <v>2133.0727000000002</v>
      </c>
      <c r="D1806" s="5">
        <v>2611.5681</v>
      </c>
    </row>
    <row r="1807" spans="1:4" s="1" customFormat="1" ht="19.75" customHeight="1" x14ac:dyDescent="0.25">
      <c r="A1807" s="8">
        <f>2005</f>
        <v>2005</v>
      </c>
      <c r="B1807" s="3" t="s">
        <v>109</v>
      </c>
      <c r="C1807" s="6">
        <v>2096.6396</v>
      </c>
      <c r="D1807" s="7">
        <v>2447.9805000000001</v>
      </c>
    </row>
    <row r="1808" spans="1:4" s="1" customFormat="1" ht="19.75" customHeight="1" x14ac:dyDescent="0.25">
      <c r="A1808" s="8">
        <f>2005</f>
        <v>2005</v>
      </c>
      <c r="B1808" s="3" t="s">
        <v>12</v>
      </c>
      <c r="C1808" s="4">
        <v>1924.1582000000001</v>
      </c>
      <c r="D1808" s="5">
        <v>2339.9778000000001</v>
      </c>
    </row>
    <row r="1809" spans="1:4" s="1" customFormat="1" ht="19.75" customHeight="1" x14ac:dyDescent="0.25">
      <c r="A1809" s="8">
        <f>2005</f>
        <v>2005</v>
      </c>
      <c r="B1809" s="3" t="s">
        <v>136</v>
      </c>
      <c r="C1809" s="6">
        <v>328.59739999999999</v>
      </c>
      <c r="D1809" s="7">
        <v>397.6567</v>
      </c>
    </row>
    <row r="1810" spans="1:4" s="1" customFormat="1" ht="19.75" customHeight="1" x14ac:dyDescent="0.25">
      <c r="A1810" s="8">
        <f>2005</f>
        <v>2005</v>
      </c>
      <c r="B1810" s="3" t="s">
        <v>124</v>
      </c>
      <c r="C1810" s="4">
        <v>522.35659999999996</v>
      </c>
      <c r="D1810" s="5">
        <v>586.11590000000001</v>
      </c>
    </row>
    <row r="1811" spans="1:4" s="1" customFormat="1" ht="19.75" customHeight="1" x14ac:dyDescent="0.25">
      <c r="A1811" s="8">
        <f>2005</f>
        <v>2005</v>
      </c>
      <c r="B1811" s="3" t="s">
        <v>133</v>
      </c>
      <c r="C1811" s="6">
        <v>218.72470000000001</v>
      </c>
      <c r="D1811" s="7">
        <v>238.00970000000001</v>
      </c>
    </row>
    <row r="1812" spans="1:4" s="1" customFormat="1" ht="19.75" customHeight="1" x14ac:dyDescent="0.25">
      <c r="A1812" s="8">
        <f>2005</f>
        <v>2005</v>
      </c>
      <c r="B1812" s="3" t="s">
        <v>128</v>
      </c>
      <c r="C1812" s="4">
        <v>346.09</v>
      </c>
      <c r="D1812" s="5">
        <v>418.29</v>
      </c>
    </row>
    <row r="1813" spans="1:4" s="1" customFormat="1" ht="19.75" customHeight="1" x14ac:dyDescent="0.25">
      <c r="A1813" s="8">
        <f>2005</f>
        <v>2005</v>
      </c>
      <c r="B1813" s="3" t="s">
        <v>14</v>
      </c>
      <c r="C1813" s="6">
        <v>290.66199999999998</v>
      </c>
      <c r="D1813" s="7">
        <v>324.10579999999999</v>
      </c>
    </row>
    <row r="1814" spans="1:4" s="1" customFormat="1" ht="19.75" customHeight="1" x14ac:dyDescent="0.25">
      <c r="A1814" s="8">
        <f>2005</f>
        <v>2005</v>
      </c>
      <c r="B1814" s="3" t="s">
        <v>15</v>
      </c>
      <c r="C1814" s="4">
        <v>368.1859</v>
      </c>
      <c r="D1814" s="5">
        <v>414.46469999999999</v>
      </c>
    </row>
    <row r="1815" spans="1:4" s="1" customFormat="1" ht="19.75" customHeight="1" x14ac:dyDescent="0.25">
      <c r="A1815" s="8">
        <f>2005</f>
        <v>2005</v>
      </c>
      <c r="B1815" s="3" t="s">
        <v>16</v>
      </c>
      <c r="C1815" s="6">
        <v>303.21859999999998</v>
      </c>
      <c r="D1815" s="7">
        <v>394.50380000000001</v>
      </c>
    </row>
    <row r="1816" spans="1:4" s="1" customFormat="1" ht="19.75" customHeight="1" x14ac:dyDescent="0.25">
      <c r="A1816" s="8">
        <f>2005</f>
        <v>2005</v>
      </c>
      <c r="B1816" s="3" t="s">
        <v>17</v>
      </c>
      <c r="C1816" s="4">
        <v>192.1645</v>
      </c>
      <c r="D1816" s="5">
        <v>206.8784</v>
      </c>
    </row>
    <row r="1817" spans="1:4" s="1" customFormat="1" ht="19.75" customHeight="1" x14ac:dyDescent="0.25">
      <c r="A1817" s="8">
        <f>2005</f>
        <v>2005</v>
      </c>
      <c r="B1817" s="3" t="s">
        <v>18</v>
      </c>
      <c r="C1817" s="6">
        <v>1191.0308</v>
      </c>
      <c r="D1817" s="7">
        <v>1403.0056</v>
      </c>
    </row>
    <row r="1818" spans="1:4" s="1" customFormat="1" ht="19.75" customHeight="1" x14ac:dyDescent="0.25">
      <c r="A1818" s="8">
        <f>2005</f>
        <v>2005</v>
      </c>
      <c r="B1818" s="3" t="s">
        <v>134</v>
      </c>
      <c r="C1818" s="4">
        <v>18.129799999999999</v>
      </c>
      <c r="D1818" s="5">
        <v>17.432700000000001</v>
      </c>
    </row>
    <row r="1819" spans="1:4" s="1" customFormat="1" ht="19.75" customHeight="1" x14ac:dyDescent="0.25">
      <c r="A1819" s="8">
        <f>2005</f>
        <v>2005</v>
      </c>
      <c r="B1819" s="3" t="s">
        <v>19</v>
      </c>
      <c r="C1819" s="6">
        <v>3093.49</v>
      </c>
      <c r="D1819" s="7">
        <v>3744.83</v>
      </c>
    </row>
    <row r="1820" spans="1:4" s="1" customFormat="1" ht="19.75" customHeight="1" x14ac:dyDescent="0.25">
      <c r="A1820" s="8">
        <f>2005</f>
        <v>2005</v>
      </c>
      <c r="B1820" s="3" t="s">
        <v>20</v>
      </c>
      <c r="C1820" s="4">
        <v>9409.8943999999992</v>
      </c>
      <c r="D1820" s="5">
        <v>12826.0383</v>
      </c>
    </row>
    <row r="1821" spans="1:4" s="1" customFormat="1" ht="19.75" customHeight="1" x14ac:dyDescent="0.25">
      <c r="A1821" s="8">
        <f>2005</f>
        <v>2005</v>
      </c>
      <c r="B1821" s="3" t="s">
        <v>23</v>
      </c>
      <c r="C1821" s="6">
        <v>1134.3942999999999</v>
      </c>
      <c r="D1821" s="7">
        <v>1385.1447000000001</v>
      </c>
    </row>
    <row r="1822" spans="1:4" s="1" customFormat="1" ht="19.75" customHeight="1" x14ac:dyDescent="0.25">
      <c r="A1822" s="8">
        <f>2005</f>
        <v>2005</v>
      </c>
      <c r="B1822" s="3" t="s">
        <v>120</v>
      </c>
      <c r="C1822" s="4">
        <v>990.57510000000002</v>
      </c>
      <c r="D1822" s="5">
        <v>1113.2466999999999</v>
      </c>
    </row>
    <row r="1823" spans="1:4" s="1" customFormat="1" ht="19.75" customHeight="1" x14ac:dyDescent="0.25">
      <c r="A1823" s="8">
        <f>2005</f>
        <v>2005</v>
      </c>
      <c r="B1823" s="3" t="s">
        <v>24</v>
      </c>
      <c r="C1823" s="6">
        <v>1549.2261000000001</v>
      </c>
      <c r="D1823" s="7">
        <v>1645.3694</v>
      </c>
    </row>
    <row r="1824" spans="1:4" s="1" customFormat="1" ht="19.75" customHeight="1" x14ac:dyDescent="0.25">
      <c r="A1824" s="8">
        <f>2005</f>
        <v>2005</v>
      </c>
      <c r="B1824" s="3" t="s">
        <v>25</v>
      </c>
      <c r="C1824" s="4">
        <v>839.93330000000003</v>
      </c>
      <c r="D1824" s="5">
        <v>1061.0818999999999</v>
      </c>
    </row>
    <row r="1825" spans="1:4" s="1" customFormat="1" ht="19.75" customHeight="1" x14ac:dyDescent="0.25">
      <c r="A1825" s="8">
        <f>2005</f>
        <v>2005</v>
      </c>
      <c r="B1825" s="3" t="s">
        <v>26</v>
      </c>
      <c r="C1825" s="6">
        <v>590.76599999999996</v>
      </c>
      <c r="D1825" s="7">
        <v>703.92</v>
      </c>
    </row>
    <row r="1826" spans="1:4" s="1" customFormat="1" ht="19.75" customHeight="1" x14ac:dyDescent="0.25">
      <c r="A1826" s="8">
        <f>2005</f>
        <v>2005</v>
      </c>
      <c r="B1826" s="3" t="s">
        <v>27</v>
      </c>
      <c r="C1826" s="4">
        <v>420.30489999999998</v>
      </c>
      <c r="D1826" s="5">
        <v>552.73749999999995</v>
      </c>
    </row>
    <row r="1827" spans="1:4" s="1" customFormat="1" ht="19.75" customHeight="1" x14ac:dyDescent="0.25">
      <c r="A1827" s="8">
        <f>2005</f>
        <v>2005</v>
      </c>
      <c r="B1827" s="3" t="s">
        <v>106</v>
      </c>
      <c r="C1827" s="6">
        <v>298.20420000000001</v>
      </c>
      <c r="D1827" s="7">
        <v>336.52420000000001</v>
      </c>
    </row>
    <row r="1828" spans="1:4" s="1" customFormat="1" ht="19.75" customHeight="1" x14ac:dyDescent="0.25">
      <c r="A1828" s="8">
        <f>2005</f>
        <v>2005</v>
      </c>
      <c r="B1828" s="3" t="s">
        <v>129</v>
      </c>
      <c r="C1828" s="4">
        <v>195.07210000000001</v>
      </c>
      <c r="D1828" s="5">
        <v>196.22409999999999</v>
      </c>
    </row>
    <row r="1829" spans="1:4" s="1" customFormat="1" ht="19.75" customHeight="1" x14ac:dyDescent="0.25">
      <c r="A1829" s="8">
        <f>2005</f>
        <v>2005</v>
      </c>
      <c r="B1829" s="3" t="s">
        <v>28</v>
      </c>
      <c r="C1829" s="6">
        <v>73.552800000000005</v>
      </c>
      <c r="D1829" s="7">
        <v>82.966300000000004</v>
      </c>
    </row>
    <row r="1830" spans="1:4" s="1" customFormat="1" ht="19.75" customHeight="1" x14ac:dyDescent="0.25">
      <c r="A1830" s="8">
        <f>2005</f>
        <v>2005</v>
      </c>
      <c r="B1830" s="3" t="s">
        <v>29</v>
      </c>
      <c r="C1830" s="4">
        <v>65.544600000000003</v>
      </c>
      <c r="D1830" s="5">
        <v>70.547799999999995</v>
      </c>
    </row>
    <row r="1831" spans="1:4" s="1" customFormat="1" ht="19.75" customHeight="1" x14ac:dyDescent="0.25">
      <c r="A1831" s="8">
        <f>2005</f>
        <v>2005</v>
      </c>
      <c r="B1831" s="3" t="s">
        <v>130</v>
      </c>
      <c r="C1831" s="6">
        <v>137.0342</v>
      </c>
      <c r="D1831" s="7">
        <v>145.86179999999999</v>
      </c>
    </row>
    <row r="1832" spans="1:4" s="1" customFormat="1" ht="19.75" customHeight="1" x14ac:dyDescent="0.25">
      <c r="A1832" s="8">
        <f>2005</f>
        <v>2005</v>
      </c>
      <c r="B1832" s="3" t="s">
        <v>122</v>
      </c>
      <c r="C1832" s="4">
        <v>25.8429</v>
      </c>
      <c r="D1832" s="5">
        <v>35.101999999999997</v>
      </c>
    </row>
    <row r="1833" spans="1:4" s="1" customFormat="1" ht="19.75" customHeight="1" x14ac:dyDescent="0.25">
      <c r="A1833" s="8">
        <f>2005</f>
        <v>2005</v>
      </c>
      <c r="B1833" s="3" t="s">
        <v>30</v>
      </c>
      <c r="C1833" s="6">
        <v>708.99580000000003</v>
      </c>
      <c r="D1833" s="7">
        <v>811.37869999999998</v>
      </c>
    </row>
    <row r="1834" spans="1:4" s="1" customFormat="1" ht="19.75" customHeight="1" x14ac:dyDescent="0.25">
      <c r="A1834" s="8">
        <f>2005</f>
        <v>2005</v>
      </c>
      <c r="B1834" s="3" t="s">
        <v>31</v>
      </c>
      <c r="C1834" s="4">
        <v>512.70249999999999</v>
      </c>
      <c r="D1834" s="5">
        <v>580.65650000000005</v>
      </c>
    </row>
    <row r="1835" spans="1:4" s="1" customFormat="1" ht="19.75" customHeight="1" x14ac:dyDescent="0.25">
      <c r="A1835" s="8">
        <f>2005</f>
        <v>2005</v>
      </c>
      <c r="B1835" s="3" t="s">
        <v>135</v>
      </c>
      <c r="C1835" s="6">
        <v>486.61500000000001</v>
      </c>
      <c r="D1835" s="7">
        <v>552.38419999999996</v>
      </c>
    </row>
    <row r="1836" spans="1:4" s="1" customFormat="1" ht="19.75" customHeight="1" x14ac:dyDescent="0.25">
      <c r="A1836" s="8">
        <f>2005</f>
        <v>2005</v>
      </c>
      <c r="B1836" s="3" t="s">
        <v>32</v>
      </c>
      <c r="C1836" s="4">
        <v>29.9787</v>
      </c>
      <c r="D1836" s="5">
        <v>48.146900000000002</v>
      </c>
    </row>
    <row r="1837" spans="1:4" s="1" customFormat="1" ht="19.75" customHeight="1" x14ac:dyDescent="0.25">
      <c r="A1837" s="8">
        <f>2005</f>
        <v>2005</v>
      </c>
      <c r="B1837" s="3" t="s">
        <v>92</v>
      </c>
      <c r="C1837" s="6">
        <v>2.9933999999999998</v>
      </c>
      <c r="D1837" s="7">
        <v>6.6727999999999996</v>
      </c>
    </row>
    <row r="1838" spans="1:4" s="1" customFormat="1" ht="19.75" customHeight="1" x14ac:dyDescent="0.25">
      <c r="A1838" s="8">
        <f>2005</f>
        <v>2005</v>
      </c>
      <c r="B1838" s="3" t="s">
        <v>97</v>
      </c>
      <c r="C1838" s="4">
        <v>149.80330000000001</v>
      </c>
      <c r="D1838" s="5">
        <v>190.27340000000001</v>
      </c>
    </row>
    <row r="1839" spans="1:4" s="1" customFormat="1" ht="19.75" customHeight="1" x14ac:dyDescent="0.25">
      <c r="A1839" s="8">
        <f>2005</f>
        <v>2005</v>
      </c>
      <c r="B1839" s="3" t="s">
        <v>131</v>
      </c>
      <c r="C1839" s="6">
        <v>269.71019999999999</v>
      </c>
      <c r="D1839" s="7">
        <v>520.42619999999999</v>
      </c>
    </row>
    <row r="1840" spans="1:4" s="1" customFormat="1" ht="19.75" customHeight="1" x14ac:dyDescent="0.25">
      <c r="A1840" s="8">
        <f>2005</f>
        <v>2005</v>
      </c>
      <c r="B1840" s="3" t="s">
        <v>36</v>
      </c>
      <c r="C1840" s="4">
        <v>257.18200000000002</v>
      </c>
      <c r="D1840" s="5">
        <v>375.91680000000002</v>
      </c>
    </row>
    <row r="1841" spans="1:4" s="1" customFormat="1" ht="19.75" customHeight="1" x14ac:dyDescent="0.25">
      <c r="A1841" s="8">
        <f>2005</f>
        <v>2005</v>
      </c>
      <c r="B1841" s="3" t="s">
        <v>37</v>
      </c>
      <c r="C1841" s="6">
        <v>34.316699999999997</v>
      </c>
      <c r="D1841" s="7">
        <v>36.779699999999998</v>
      </c>
    </row>
    <row r="1842" spans="1:4" s="1" customFormat="1" ht="19.75" customHeight="1" x14ac:dyDescent="0.25">
      <c r="A1842" s="8">
        <f>2005</f>
        <v>2005</v>
      </c>
      <c r="B1842" s="3" t="s">
        <v>38</v>
      </c>
      <c r="C1842" s="4">
        <v>8.4780999999999995</v>
      </c>
      <c r="D1842" s="5">
        <v>14.2906</v>
      </c>
    </row>
    <row r="1843" spans="1:4" s="1" customFormat="1" ht="19.75" customHeight="1" x14ac:dyDescent="0.25">
      <c r="A1843" s="8">
        <f>2005</f>
        <v>2005</v>
      </c>
      <c r="B1843" s="3" t="s">
        <v>40</v>
      </c>
      <c r="C1843" s="6">
        <v>158.9676</v>
      </c>
      <c r="D1843" s="7">
        <v>210.8852</v>
      </c>
    </row>
    <row r="1844" spans="1:4" s="1" customFormat="1" ht="19.75" customHeight="1" x14ac:dyDescent="0.25">
      <c r="A1844" s="8">
        <f>2005</f>
        <v>2005</v>
      </c>
      <c r="B1844" s="3" t="s">
        <v>41</v>
      </c>
      <c r="C1844" s="4">
        <v>31.334700000000002</v>
      </c>
      <c r="D1844" s="5">
        <v>157.8125</v>
      </c>
    </row>
    <row r="1845" spans="1:4" s="1" customFormat="1" ht="19.75" customHeight="1" x14ac:dyDescent="0.25">
      <c r="A1845" s="8">
        <f>2005</f>
        <v>2005</v>
      </c>
      <c r="B1845" s="3" t="s">
        <v>42</v>
      </c>
      <c r="C1845" s="6">
        <v>176.22450000000001</v>
      </c>
      <c r="D1845" s="7">
        <v>243.83090000000001</v>
      </c>
    </row>
    <row r="1846" spans="1:4" s="1" customFormat="1" ht="19.75" customHeight="1" x14ac:dyDescent="0.25">
      <c r="A1846" s="8">
        <f>2005</f>
        <v>2005</v>
      </c>
      <c r="B1846" s="3" t="s">
        <v>43</v>
      </c>
      <c r="C1846" s="4">
        <v>2202.7008999999998</v>
      </c>
      <c r="D1846" s="5">
        <v>3146.4983999999999</v>
      </c>
    </row>
    <row r="1847" spans="1:4" s="1" customFormat="1" ht="19.75" customHeight="1" x14ac:dyDescent="0.25">
      <c r="A1847" s="8">
        <f>2005</f>
        <v>2005</v>
      </c>
      <c r="B1847" s="3" t="s">
        <v>45</v>
      </c>
      <c r="C1847" s="6">
        <v>117.0373</v>
      </c>
      <c r="D1847" s="7">
        <v>139.50299999999999</v>
      </c>
    </row>
    <row r="1848" spans="1:4" s="1" customFormat="1" ht="19.75" customHeight="1" x14ac:dyDescent="0.25">
      <c r="A1848" s="8">
        <f>2005</f>
        <v>2005</v>
      </c>
      <c r="B1848" s="3" t="s">
        <v>46</v>
      </c>
      <c r="C1848" s="4">
        <v>9.0923999999999996</v>
      </c>
      <c r="D1848" s="5">
        <v>10.5206</v>
      </c>
    </row>
    <row r="1849" spans="1:4" s="1" customFormat="1" ht="19.75" customHeight="1" x14ac:dyDescent="0.25">
      <c r="A1849" s="8">
        <f>2005</f>
        <v>2005</v>
      </c>
      <c r="B1849" s="3" t="s">
        <v>47</v>
      </c>
      <c r="C1849" s="6">
        <v>34.533900000000003</v>
      </c>
      <c r="D1849" s="7">
        <v>38.103099999999998</v>
      </c>
    </row>
    <row r="1850" spans="1:4" s="1" customFormat="1" ht="19.75" customHeight="1" x14ac:dyDescent="0.25">
      <c r="A1850" s="8">
        <f>2005</f>
        <v>2005</v>
      </c>
      <c r="B1850" s="3" t="s">
        <v>48</v>
      </c>
      <c r="C1850" s="4">
        <v>390.16500000000002</v>
      </c>
      <c r="D1850" s="5">
        <v>798.25059999999996</v>
      </c>
    </row>
    <row r="1851" spans="1:4" s="1" customFormat="1" ht="19.75" customHeight="1" x14ac:dyDescent="0.25">
      <c r="A1851" s="8">
        <f>2005</f>
        <v>2005</v>
      </c>
      <c r="B1851" s="3" t="s">
        <v>98</v>
      </c>
      <c r="C1851" s="6">
        <v>1626.8295000000001</v>
      </c>
      <c r="D1851" s="7">
        <v>2287.9005000000002</v>
      </c>
    </row>
    <row r="1852" spans="1:4" s="1" customFormat="1" ht="19.75" customHeight="1" x14ac:dyDescent="0.25">
      <c r="A1852" s="8">
        <f>2005</f>
        <v>2005</v>
      </c>
      <c r="B1852" s="3" t="s">
        <v>121</v>
      </c>
      <c r="C1852" s="4">
        <v>17.892700000000001</v>
      </c>
      <c r="D1852" s="5">
        <v>19.586500000000001</v>
      </c>
    </row>
    <row r="1853" spans="1:4" s="1" customFormat="1" ht="19.75" customHeight="1" x14ac:dyDescent="0.25">
      <c r="A1853" s="8">
        <f>2005</f>
        <v>2005</v>
      </c>
      <c r="B1853" s="3" t="s">
        <v>137</v>
      </c>
      <c r="C1853" s="6">
        <v>2.5886999999999998</v>
      </c>
      <c r="D1853" s="7">
        <v>3.9138000000000002</v>
      </c>
    </row>
    <row r="1854" spans="1:4" s="1" customFormat="1" ht="19.75" customHeight="1" x14ac:dyDescent="0.25">
      <c r="A1854" s="8">
        <f>2005</f>
        <v>2005</v>
      </c>
      <c r="B1854" s="3" t="s">
        <v>55</v>
      </c>
      <c r="C1854" s="4">
        <v>39.9634</v>
      </c>
      <c r="D1854" s="5">
        <v>132.6694</v>
      </c>
    </row>
    <row r="1855" spans="1:4" s="1" customFormat="1" ht="19.75" customHeight="1" x14ac:dyDescent="0.25">
      <c r="A1855" s="8">
        <f>2005</f>
        <v>2005</v>
      </c>
      <c r="B1855" s="3" t="s">
        <v>132</v>
      </c>
      <c r="C1855" s="6">
        <v>26.385100000000001</v>
      </c>
      <c r="D1855" s="7">
        <v>30.7455</v>
      </c>
    </row>
    <row r="1856" spans="1:4" s="1" customFormat="1" ht="19.75" customHeight="1" x14ac:dyDescent="0.25">
      <c r="A1856" s="8">
        <f>2005</f>
        <v>2005</v>
      </c>
      <c r="B1856" s="3" t="s">
        <v>94</v>
      </c>
      <c r="C1856" s="4">
        <v>3.7231000000000001</v>
      </c>
      <c r="D1856" s="5">
        <v>3.9883999999999999</v>
      </c>
    </row>
    <row r="1857" spans="1:4" s="1" customFormat="1" ht="19.75" customHeight="1" x14ac:dyDescent="0.25">
      <c r="A1857" s="8">
        <f>2005</f>
        <v>2005</v>
      </c>
      <c r="B1857" s="3" t="s">
        <v>59</v>
      </c>
      <c r="C1857" s="6">
        <v>28.820799999999998</v>
      </c>
      <c r="D1857" s="7">
        <v>32.500100000000003</v>
      </c>
    </row>
    <row r="1858" spans="1:4" s="1" customFormat="1" ht="19.75" customHeight="1" x14ac:dyDescent="0.25">
      <c r="A1858" s="8">
        <f>2005</f>
        <v>2005</v>
      </c>
      <c r="B1858" s="3" t="s">
        <v>60</v>
      </c>
      <c r="C1858" s="4">
        <v>17.256900000000002</v>
      </c>
      <c r="D1858" s="5">
        <v>23.473600000000001</v>
      </c>
    </row>
    <row r="1859" spans="1:4" s="1" customFormat="1" ht="19.75" customHeight="1" x14ac:dyDescent="0.25">
      <c r="A1859" s="8">
        <f>2005</f>
        <v>2005</v>
      </c>
      <c r="B1859" s="3" t="s">
        <v>61</v>
      </c>
      <c r="C1859" s="6">
        <v>57.029899999999998</v>
      </c>
      <c r="D1859" s="7">
        <v>114.3426</v>
      </c>
    </row>
    <row r="1860" spans="1:4" s="1" customFormat="1" ht="19.75" customHeight="1" x14ac:dyDescent="0.25">
      <c r="A1860" s="8">
        <f>2005</f>
        <v>2005</v>
      </c>
      <c r="B1860" s="3" t="s">
        <v>64</v>
      </c>
      <c r="C1860" s="4">
        <v>3.5522</v>
      </c>
      <c r="D1860" s="5">
        <v>3.2052</v>
      </c>
    </row>
    <row r="1861" spans="1:4" s="1" customFormat="1" ht="19.75" customHeight="1" x14ac:dyDescent="0.25">
      <c r="A1861" s="8">
        <f>2005</f>
        <v>2005</v>
      </c>
      <c r="B1861" s="3" t="s">
        <v>67</v>
      </c>
      <c r="C1861" s="6">
        <v>36.133299999999998</v>
      </c>
      <c r="D1861" s="7">
        <v>38.2166</v>
      </c>
    </row>
    <row r="1862" spans="1:4" s="1" customFormat="1" ht="19.75" customHeight="1" x14ac:dyDescent="0.25">
      <c r="A1862" s="8">
        <f>2005</f>
        <v>2005</v>
      </c>
      <c r="B1862" s="3" t="s">
        <v>68</v>
      </c>
      <c r="C1862" s="4">
        <v>12.651999999999999</v>
      </c>
      <c r="D1862" s="5">
        <v>17.590800000000002</v>
      </c>
    </row>
    <row r="1863" spans="1:4" s="1" customFormat="1" ht="19.75" customHeight="1" x14ac:dyDescent="0.25">
      <c r="A1863" s="8">
        <f>2005</f>
        <v>2005</v>
      </c>
      <c r="B1863" s="3" t="s">
        <v>69</v>
      </c>
      <c r="C1863" s="6">
        <v>37.052300000000002</v>
      </c>
      <c r="D1863" s="7">
        <v>49.476300000000002</v>
      </c>
    </row>
    <row r="1864" spans="1:4" s="1" customFormat="1" ht="19.75" customHeight="1" x14ac:dyDescent="0.25">
      <c r="A1864" s="8">
        <f>2005</f>
        <v>2005</v>
      </c>
      <c r="B1864" s="3" t="s">
        <v>95</v>
      </c>
      <c r="C1864" s="4">
        <v>1.4327000000000001</v>
      </c>
      <c r="D1864" s="5">
        <v>6.2895000000000003</v>
      </c>
    </row>
    <row r="1865" spans="1:4" s="1" customFormat="1" ht="19.75" customHeight="1" x14ac:dyDescent="0.25">
      <c r="A1865" s="8">
        <f>2005</f>
        <v>2005</v>
      </c>
      <c r="B1865" s="3" t="s">
        <v>71</v>
      </c>
      <c r="C1865" s="6">
        <v>2492.9535000000001</v>
      </c>
      <c r="D1865" s="7">
        <v>3018.3823000000002</v>
      </c>
    </row>
    <row r="1866" spans="1:4" s="1" customFormat="1" ht="19.75" customHeight="1" x14ac:dyDescent="0.25">
      <c r="A1866" s="8">
        <f>2005</f>
        <v>2005</v>
      </c>
      <c r="B1866" s="3" t="s">
        <v>125</v>
      </c>
      <c r="C1866" s="4">
        <v>907.39120000000003</v>
      </c>
      <c r="D1866" s="5">
        <v>1342.7155</v>
      </c>
    </row>
    <row r="1867" spans="1:4" s="1" customFormat="1" ht="19.75" customHeight="1" x14ac:dyDescent="0.25">
      <c r="A1867" s="8">
        <f>2005</f>
        <v>2005</v>
      </c>
      <c r="B1867" s="3" t="s">
        <v>138</v>
      </c>
      <c r="C1867" s="6">
        <v>16.265699999999999</v>
      </c>
      <c r="D1867" s="7">
        <v>21.398399999999999</v>
      </c>
    </row>
  </sheetData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uday singh</cp:lastModifiedBy>
  <dcterms:created xsi:type="dcterms:W3CDTF">2026-01-12T21:22:59Z</dcterms:created>
  <dcterms:modified xsi:type="dcterms:W3CDTF">2026-02-08T05:11:01Z</dcterms:modified>
</cp:coreProperties>
</file>