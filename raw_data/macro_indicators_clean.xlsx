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13_ncr:1_{DACF8C26-F702-47C6-99A3-94D7DB606D14}" xr6:coauthVersionLast="47" xr6:coauthVersionMax="47" xr10:uidLastSave="{00000000-0000-0000-0000-000000000000}"/>
  <bookViews>
    <workbookView xWindow="-110" yWindow="-110" windowWidth="19420" windowHeight="11020" xr2:uid="{5E513F98-81A1-4630-82A6-40EA96468D94}"/>
  </bookViews>
  <sheets>
    <sheet name="Monthly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14" i="1"/>
  <c r="A13" i="1"/>
  <c r="A12" i="1"/>
  <c r="A11" i="1"/>
  <c r="A10" i="1"/>
  <c r="A9" i="1"/>
  <c r="A8" i="1"/>
  <c r="A7" i="1"/>
  <c r="A6" i="1"/>
  <c r="A5" i="1"/>
  <c r="A4" i="1"/>
  <c r="A15" i="1"/>
  <c r="A26" i="1"/>
  <c r="A25" i="1"/>
  <c r="A24" i="1"/>
  <c r="A23" i="1"/>
  <c r="A22" i="1"/>
  <c r="A21" i="1"/>
  <c r="A20" i="1"/>
  <c r="A19" i="1"/>
  <c r="A18" i="1"/>
  <c r="A17" i="1"/>
  <c r="A16" i="1"/>
  <c r="A27" i="1"/>
  <c r="A38" i="1"/>
  <c r="A37" i="1"/>
  <c r="A36" i="1"/>
  <c r="A35" i="1"/>
  <c r="A34" i="1"/>
  <c r="A33" i="1"/>
  <c r="A32" i="1"/>
  <c r="A31" i="1"/>
  <c r="A30" i="1"/>
  <c r="A29" i="1"/>
  <c r="A28" i="1"/>
  <c r="A39" i="1"/>
  <c r="A50" i="1"/>
  <c r="A49" i="1"/>
  <c r="A48" i="1"/>
  <c r="A47" i="1"/>
  <c r="A46" i="1"/>
  <c r="A45" i="1"/>
  <c r="A44" i="1"/>
  <c r="A43" i="1"/>
  <c r="A42" i="1"/>
  <c r="A41" i="1"/>
  <c r="A40" i="1"/>
  <c r="A51" i="1"/>
  <c r="A62" i="1"/>
  <c r="A61" i="1"/>
  <c r="A60" i="1"/>
  <c r="A59" i="1"/>
  <c r="A58" i="1"/>
  <c r="A57" i="1"/>
  <c r="A56" i="1"/>
  <c r="A55" i="1"/>
  <c r="A54" i="1"/>
  <c r="A53" i="1"/>
  <c r="A52" i="1"/>
  <c r="A63" i="1"/>
  <c r="A74" i="1"/>
  <c r="A73" i="1"/>
  <c r="A72" i="1"/>
  <c r="A71" i="1"/>
  <c r="A70" i="1"/>
  <c r="A69" i="1"/>
  <c r="A68" i="1"/>
  <c r="A67" i="1"/>
  <c r="A66" i="1"/>
  <c r="A65" i="1"/>
  <c r="A64" i="1"/>
  <c r="A75" i="1"/>
  <c r="A86" i="1"/>
  <c r="A85" i="1"/>
  <c r="A84" i="1"/>
  <c r="A83" i="1"/>
  <c r="A82" i="1"/>
  <c r="A81" i="1"/>
  <c r="A80" i="1"/>
  <c r="A79" i="1"/>
  <c r="A78" i="1"/>
  <c r="A77" i="1"/>
  <c r="A76" i="1"/>
  <c r="A87" i="1"/>
  <c r="A98" i="1"/>
  <c r="A97" i="1"/>
  <c r="A96" i="1"/>
  <c r="A95" i="1"/>
  <c r="A94" i="1"/>
  <c r="A93" i="1"/>
  <c r="A92" i="1"/>
  <c r="A91" i="1"/>
  <c r="A90" i="1"/>
  <c r="A89" i="1"/>
  <c r="A88" i="1"/>
  <c r="A99" i="1"/>
  <c r="A110" i="1"/>
  <c r="A109" i="1"/>
  <c r="A108" i="1"/>
  <c r="A107" i="1"/>
  <c r="A106" i="1"/>
  <c r="A105" i="1"/>
  <c r="A104" i="1"/>
  <c r="A103" i="1"/>
  <c r="A102" i="1"/>
  <c r="A101" i="1"/>
  <c r="A100" i="1"/>
  <c r="A111" i="1"/>
  <c r="A122" i="1"/>
  <c r="A121" i="1"/>
  <c r="A120" i="1"/>
  <c r="A119" i="1"/>
  <c r="A118" i="1"/>
  <c r="A117" i="1"/>
  <c r="A116" i="1"/>
  <c r="A115" i="1"/>
  <c r="A114" i="1"/>
  <c r="A113" i="1"/>
  <c r="A112" i="1"/>
  <c r="A123" i="1"/>
  <c r="A134" i="1"/>
  <c r="A133" i="1"/>
  <c r="A132" i="1"/>
  <c r="A131" i="1"/>
  <c r="A130" i="1"/>
  <c r="A129" i="1"/>
  <c r="A128" i="1"/>
  <c r="A127" i="1"/>
  <c r="A126" i="1"/>
  <c r="A125" i="1"/>
  <c r="A124" i="1"/>
  <c r="A135" i="1"/>
  <c r="A146" i="1"/>
  <c r="A145" i="1"/>
  <c r="A144" i="1"/>
  <c r="A143" i="1"/>
  <c r="A142" i="1"/>
  <c r="A141" i="1"/>
  <c r="A140" i="1"/>
  <c r="A139" i="1"/>
  <c r="A138" i="1"/>
  <c r="A137" i="1"/>
  <c r="A136" i="1"/>
  <c r="A147" i="1"/>
  <c r="A158" i="1"/>
  <c r="A157" i="1"/>
  <c r="A156" i="1"/>
  <c r="A155" i="1"/>
  <c r="A154" i="1"/>
  <c r="A153" i="1"/>
  <c r="A152" i="1"/>
  <c r="A151" i="1"/>
  <c r="A150" i="1"/>
  <c r="A149" i="1"/>
  <c r="A148" i="1"/>
  <c r="A159" i="1"/>
  <c r="A170" i="1"/>
  <c r="A169" i="1"/>
  <c r="A168" i="1"/>
  <c r="A167" i="1"/>
  <c r="A166" i="1"/>
  <c r="A165" i="1"/>
  <c r="A164" i="1"/>
  <c r="A163" i="1"/>
  <c r="A162" i="1"/>
  <c r="A161" i="1"/>
  <c r="A160" i="1"/>
  <c r="A171" i="1"/>
  <c r="A181" i="1"/>
  <c r="A176" i="1"/>
  <c r="A175" i="1"/>
  <c r="A174" i="1"/>
  <c r="A173" i="1"/>
  <c r="A172" i="1"/>
  <c r="A180" i="1"/>
  <c r="A179" i="1"/>
  <c r="A178" i="1"/>
  <c r="A177" i="1"/>
</calcChain>
</file>

<file path=xl/sharedStrings.xml><?xml version="1.0" encoding="utf-8"?>
<sst xmlns="http://schemas.openxmlformats.org/spreadsheetml/2006/main" count="7" uniqueCount="7">
  <si>
    <t>credit_growth</t>
  </si>
  <si>
    <t>repo_rate</t>
  </si>
  <si>
    <t>Date2</t>
  </si>
  <si>
    <t>DATE</t>
  </si>
  <si>
    <t>inflation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</si>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</sst>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[$-14009]yyyy/mm/dd;@"/>
  </numFmts>
  <fonts count="7" x14ac:knownFonts="1">
    <font>
      <sz val="10"/>
      <color rgb="FF000000"/>
      <name val="Arial"/>
    </font>
    <font>
      <sz val="6"/>
      <color rgb="FF000000"/>
      <name val="Arial"/>
    </font>
    <font>
      <b/>
      <sz val="6"/>
      <color theme="0"/>
      <name val="Arial"/>
      <family val="2"/>
    </font>
    <font>
      <b/>
      <sz val="9"/>
      <color rgb="FFFFFFFF"/>
      <name val="Arial"/>
      <family val="2"/>
    </font>
    <font>
      <sz val="6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theme="8" tint="-0.249977111117893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thin">
        <color theme="4" tint="0.39997558519241921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49" fontId="3" fillId="4" borderId="4" xfId="0" applyNumberFormat="1" applyFont="1" applyFill="1" applyBorder="1" applyAlignment="1">
      <alignment horizontal="center"/>
    </xf>
    <xf numFmtId="17" fontId="4" fillId="2" borderId="3" xfId="0" applyNumberFormat="1" applyFont="1" applyFill="1" applyBorder="1" applyAlignment="1">
      <alignment horizontal="left"/>
    </xf>
    <xf numFmtId="164" fontId="5" fillId="3" borderId="6" xfId="0" applyNumberFormat="1" applyFont="1" applyFill="1" applyBorder="1" applyAlignment="1">
      <alignment horizontal="left"/>
    </xf>
    <xf numFmtId="17" fontId="4" fillId="2" borderId="2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4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/>
    </xf>
    <xf numFmtId="2" fontId="6" fillId="3" borderId="6" xfId="0" applyNumberFormat="1" applyFont="1" applyFill="1" applyBorder="1" applyAlignment="1">
      <alignment horizontal="right"/>
    </xf>
    <xf numFmtId="2" fontId="6" fillId="3" borderId="7" xfId="0" applyNumberFormat="1" applyFont="1" applyFill="1" applyBorder="1" applyAlignment="1">
      <alignment horizontal="right"/>
    </xf>
    <xf numFmtId="165" fontId="5" fillId="3" borderId="6" xfId="0" applyNumberFormat="1" applyFont="1" applyFill="1" applyBorder="1" applyAlignment="1">
      <alignment horizontal="left"/>
    </xf>
    <xf numFmtId="2" fontId="6" fillId="2" borderId="4" xfId="0" applyNumberFormat="1" applyFont="1" applyFill="1" applyBorder="1" applyAlignment="1">
      <alignment horizontal="right"/>
    </xf>
    <xf numFmtId="2" fontId="6" fillId="3" borderId="4" xfId="0" applyNumberFormat="1" applyFont="1" applyFill="1" applyBorder="1" applyAlignment="1">
      <alignment horizontal="right"/>
    </xf>
    <xf numFmtId="2" fontId="6" fillId="3" borderId="8" xfId="0" applyNumberFormat="1" applyFont="1" applyFill="1" applyBorder="1" applyAlignment="1">
      <alignment horizontal="right"/>
    </xf>
    <xf numFmtId="2" fontId="6" fillId="2" borderId="7" xfId="0" applyNumberFormat="1" applyFont="1" applyFill="1" applyBorder="1" applyAlignment="1">
      <alignment horizontal="right"/>
    </xf>
    <xf numFmtId="2" fontId="6" fillId="3" borderId="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81C7-8044-419D-AE20-AE2A21B97553}">
  <dimension ref="A1:H181"/>
  <sheetViews>
    <sheetView tabSelected="1" zoomScale="115" zoomScaleNormal="115" workbookViewId="0">
      <selection activeCell="I6" sqref="I6"/>
    </sheetView>
  </sheetViews>
  <sheetFormatPr defaultColWidth="10" defaultRowHeight="12.5" x14ac:dyDescent="0.25"/>
  <sheetData>
    <row r="1" spans="1:8" s="1" customFormat="1" ht="6.9" customHeight="1" x14ac:dyDescent="0.2"/>
    <row r="2" spans="1:8" s="1" customFormat="1" ht="20" customHeight="1" x14ac:dyDescent="0.25">
      <c r="A2" s="7" t="s">
        <v>3</v>
      </c>
      <c r="B2" s="2" t="s">
        <v>2</v>
      </c>
      <c r="C2" s="10" t="s">
        <v>5</v>
      </c>
      <c r="D2" s="9" t="s">
        <v>0</v>
      </c>
      <c r="E2" s="9" t="s">
        <v>1</v>
      </c>
      <c r="F2" s="8" t="s">
        <v>4</v>
      </c>
    </row>
    <row r="3" spans="1:8" s="1" customFormat="1" ht="14.9" customHeight="1" x14ac:dyDescent="0.25">
      <c r="A3" s="3">
        <f>DATE(2010, MONTH(B3), 1)</f>
        <v>40513</v>
      </c>
      <c r="B3" s="4">
        <v>40543</v>
      </c>
      <c r="C3" s="13">
        <v>40513</v>
      </c>
      <c r="D3" s="11">
        <v>27.97</v>
      </c>
      <c r="E3" s="15">
        <v>6.25</v>
      </c>
      <c r="F3" s="12"/>
    </row>
    <row r="4" spans="1:8" s="1" customFormat="1" ht="17.5" customHeight="1" x14ac:dyDescent="0.25">
      <c r="A4" s="3">
        <f t="shared" ref="A4:A15" si="0">DATE(2011, MONTH(B4), 1)</f>
        <v>40544</v>
      </c>
      <c r="B4" s="4">
        <v>40574</v>
      </c>
      <c r="C4" s="13">
        <v>40544</v>
      </c>
      <c r="D4" s="14">
        <v>23.31</v>
      </c>
      <c r="E4" s="14">
        <v>6.5</v>
      </c>
      <c r="F4" s="17"/>
    </row>
    <row r="5" spans="1:8" s="1" customFormat="1" ht="17.5" customHeight="1" x14ac:dyDescent="0.25">
      <c r="A5" s="3">
        <f t="shared" si="0"/>
        <v>40575</v>
      </c>
      <c r="B5" s="4">
        <v>40602</v>
      </c>
      <c r="C5" s="13">
        <v>40575</v>
      </c>
      <c r="D5" s="15">
        <v>23.21</v>
      </c>
      <c r="E5" s="15">
        <v>6.5</v>
      </c>
      <c r="F5" s="12"/>
      <c r="H5" s="1" t="s">
        <v>6</v>
      </c>
    </row>
    <row r="6" spans="1:8" s="1" customFormat="1" ht="17.5" customHeight="1" x14ac:dyDescent="0.25">
      <c r="A6" s="3">
        <f t="shared" si="0"/>
        <v>40603</v>
      </c>
      <c r="B6" s="4">
        <v>40633</v>
      </c>
      <c r="C6" s="13">
        <v>40603</v>
      </c>
      <c r="D6" s="14">
        <v>21.38</v>
      </c>
      <c r="E6" s="14">
        <v>6.75</v>
      </c>
      <c r="F6" s="17"/>
    </row>
    <row r="7" spans="1:8" s="1" customFormat="1" ht="17.5" customHeight="1" x14ac:dyDescent="0.25">
      <c r="A7" s="3">
        <f t="shared" si="0"/>
        <v>40634</v>
      </c>
      <c r="B7" s="4">
        <v>40663</v>
      </c>
      <c r="C7" s="13">
        <v>40634</v>
      </c>
      <c r="D7" s="15">
        <v>22.087273</v>
      </c>
      <c r="E7" s="15">
        <v>6.75</v>
      </c>
      <c r="F7" s="12"/>
    </row>
    <row r="8" spans="1:8" s="1" customFormat="1" ht="17.5" customHeight="1" x14ac:dyDescent="0.25">
      <c r="A8" s="3">
        <f t="shared" si="0"/>
        <v>40664</v>
      </c>
      <c r="B8" s="4">
        <v>40694</v>
      </c>
      <c r="C8" s="13">
        <v>40664</v>
      </c>
      <c r="D8" s="14">
        <v>22.457447999999999</v>
      </c>
      <c r="E8" s="14">
        <v>7.25</v>
      </c>
      <c r="F8" s="17"/>
    </row>
    <row r="9" spans="1:8" s="1" customFormat="1" ht="17.5" customHeight="1" x14ac:dyDescent="0.25">
      <c r="A9" s="3">
        <f t="shared" si="0"/>
        <v>40695</v>
      </c>
      <c r="B9" s="4">
        <v>40724</v>
      </c>
      <c r="C9" s="13">
        <v>40695</v>
      </c>
      <c r="D9" s="15">
        <v>20.680931000000001</v>
      </c>
      <c r="E9" s="15">
        <v>7.5</v>
      </c>
      <c r="F9" s="12"/>
    </row>
    <row r="10" spans="1:8" s="1" customFormat="1" ht="17.5" customHeight="1" x14ac:dyDescent="0.25">
      <c r="A10" s="3">
        <f t="shared" si="0"/>
        <v>40725</v>
      </c>
      <c r="B10" s="4">
        <v>40755</v>
      </c>
      <c r="C10" s="13">
        <v>40725</v>
      </c>
      <c r="D10" s="14">
        <v>18.679559999999999</v>
      </c>
      <c r="E10" s="14">
        <v>8</v>
      </c>
      <c r="F10" s="17"/>
    </row>
    <row r="11" spans="1:8" s="1" customFormat="1" ht="17.5" customHeight="1" x14ac:dyDescent="0.25">
      <c r="A11" s="3">
        <f t="shared" si="0"/>
        <v>40756</v>
      </c>
      <c r="B11" s="4">
        <v>40786</v>
      </c>
      <c r="C11" s="13">
        <v>40756</v>
      </c>
      <c r="D11" s="15">
        <v>20.681497</v>
      </c>
      <c r="E11" s="15">
        <v>8</v>
      </c>
      <c r="F11" s="12"/>
    </row>
    <row r="12" spans="1:8" s="1" customFormat="1" ht="17.5" customHeight="1" x14ac:dyDescent="0.25">
      <c r="A12" s="3">
        <f t="shared" si="0"/>
        <v>40787</v>
      </c>
      <c r="B12" s="4">
        <v>40816</v>
      </c>
      <c r="C12" s="13">
        <v>40787</v>
      </c>
      <c r="D12" s="14">
        <v>19.548971999999999</v>
      </c>
      <c r="E12" s="14">
        <v>8.25</v>
      </c>
      <c r="F12" s="17"/>
    </row>
    <row r="13" spans="1:8" s="1" customFormat="1" ht="14.9" customHeight="1" x14ac:dyDescent="0.25">
      <c r="A13" s="3">
        <f t="shared" si="0"/>
        <v>40817</v>
      </c>
      <c r="B13" s="4">
        <v>40847</v>
      </c>
      <c r="C13" s="13">
        <v>40817</v>
      </c>
      <c r="D13" s="15">
        <v>19.314636</v>
      </c>
      <c r="E13" s="15">
        <v>8.5</v>
      </c>
      <c r="F13" s="12"/>
    </row>
    <row r="14" spans="1:8" s="1" customFormat="1" ht="17.5" customHeight="1" x14ac:dyDescent="0.25">
      <c r="A14" s="3">
        <f t="shared" si="0"/>
        <v>40848</v>
      </c>
      <c r="B14" s="4">
        <v>40877</v>
      </c>
      <c r="C14" s="13">
        <v>40848</v>
      </c>
      <c r="D14" s="14">
        <v>17.662756000000002</v>
      </c>
      <c r="E14" s="14">
        <v>8.5</v>
      </c>
      <c r="F14" s="17"/>
    </row>
    <row r="15" spans="1:8" s="1" customFormat="1" ht="17.5" customHeight="1" x14ac:dyDescent="0.25">
      <c r="A15" s="3">
        <f t="shared" si="0"/>
        <v>40878</v>
      </c>
      <c r="B15" s="4">
        <v>40908</v>
      </c>
      <c r="C15" s="13">
        <v>40878</v>
      </c>
      <c r="D15" s="15">
        <v>15.974669</v>
      </c>
      <c r="E15" s="15">
        <v>8.5</v>
      </c>
      <c r="F15" s="12"/>
    </row>
    <row r="16" spans="1:8" s="1" customFormat="1" ht="17.5" customHeight="1" x14ac:dyDescent="0.25">
      <c r="A16" s="3">
        <f t="shared" ref="A16:A27" si="1">DATE(2012, MONTH(B16), 1)</f>
        <v>40909</v>
      </c>
      <c r="B16" s="4">
        <v>40939</v>
      </c>
      <c r="C16" s="13">
        <v>40909</v>
      </c>
      <c r="D16" s="14">
        <v>16.455456000000002</v>
      </c>
      <c r="E16" s="14">
        <v>8.5</v>
      </c>
      <c r="F16" s="17">
        <v>7.65</v>
      </c>
    </row>
    <row r="17" spans="1:6" s="1" customFormat="1" ht="17.5" customHeight="1" x14ac:dyDescent="0.25">
      <c r="A17" s="3">
        <f t="shared" si="1"/>
        <v>40940</v>
      </c>
      <c r="B17" s="4">
        <v>40968</v>
      </c>
      <c r="C17" s="13">
        <v>40940</v>
      </c>
      <c r="D17" s="15">
        <v>15.632738</v>
      </c>
      <c r="E17" s="15">
        <v>8.5</v>
      </c>
      <c r="F17" s="12">
        <v>8.83</v>
      </c>
    </row>
    <row r="18" spans="1:6" s="1" customFormat="1" ht="17.5" customHeight="1" x14ac:dyDescent="0.25">
      <c r="A18" s="3">
        <f t="shared" si="1"/>
        <v>40969</v>
      </c>
      <c r="B18" s="4">
        <v>40999</v>
      </c>
      <c r="C18" s="13">
        <v>40969</v>
      </c>
      <c r="D18" s="14">
        <v>16.990237</v>
      </c>
      <c r="E18" s="14">
        <v>8.5</v>
      </c>
      <c r="F18" s="17">
        <v>9.3800000000000008</v>
      </c>
    </row>
    <row r="19" spans="1:6" s="1" customFormat="1" ht="17.5" customHeight="1" x14ac:dyDescent="0.25">
      <c r="A19" s="3">
        <f t="shared" si="1"/>
        <v>41000</v>
      </c>
      <c r="B19" s="4">
        <v>41029</v>
      </c>
      <c r="C19" s="13">
        <v>41000</v>
      </c>
      <c r="D19" s="15">
        <v>17.540123000000001</v>
      </c>
      <c r="E19" s="15">
        <v>8</v>
      </c>
      <c r="F19" s="12">
        <v>10.26</v>
      </c>
    </row>
    <row r="20" spans="1:6" s="1" customFormat="1" ht="17.5" customHeight="1" x14ac:dyDescent="0.25">
      <c r="A20" s="3">
        <f t="shared" si="1"/>
        <v>41030</v>
      </c>
      <c r="B20" s="4">
        <v>41060</v>
      </c>
      <c r="C20" s="13">
        <v>41030</v>
      </c>
      <c r="D20" s="14">
        <v>17.8</v>
      </c>
      <c r="E20" s="14">
        <v>8</v>
      </c>
      <c r="F20" s="17">
        <v>10.36</v>
      </c>
    </row>
    <row r="21" spans="1:6" s="1" customFormat="1" ht="17.5" customHeight="1" x14ac:dyDescent="0.25">
      <c r="A21" s="3">
        <f t="shared" si="1"/>
        <v>41061</v>
      </c>
      <c r="B21" s="4">
        <v>41090</v>
      </c>
      <c r="C21" s="13">
        <v>41061</v>
      </c>
      <c r="D21" s="15">
        <v>16.5</v>
      </c>
      <c r="E21" s="15">
        <v>8</v>
      </c>
      <c r="F21" s="12">
        <v>9.93</v>
      </c>
    </row>
    <row r="22" spans="1:6" s="1" customFormat="1" ht="17.5" customHeight="1" x14ac:dyDescent="0.25">
      <c r="A22" s="3">
        <f t="shared" si="1"/>
        <v>41091</v>
      </c>
      <c r="B22" s="4">
        <v>41121</v>
      </c>
      <c r="C22" s="13">
        <v>41091</v>
      </c>
      <c r="D22" s="14">
        <v>17.279116999999999</v>
      </c>
      <c r="E22" s="14">
        <v>8</v>
      </c>
      <c r="F22" s="17">
        <v>9.86</v>
      </c>
    </row>
    <row r="23" spans="1:6" s="1" customFormat="1" ht="17.5" customHeight="1" x14ac:dyDescent="0.25">
      <c r="A23" s="3">
        <f t="shared" si="1"/>
        <v>41122</v>
      </c>
      <c r="B23" s="4">
        <v>41152</v>
      </c>
      <c r="C23" s="13">
        <v>41122</v>
      </c>
      <c r="D23" s="15">
        <v>17.600000000000001</v>
      </c>
      <c r="E23" s="15">
        <v>8</v>
      </c>
      <c r="F23" s="12">
        <v>10.029999999999999</v>
      </c>
    </row>
    <row r="24" spans="1:6" s="1" customFormat="1" ht="17.5" customHeight="1" x14ac:dyDescent="0.25">
      <c r="A24" s="3">
        <f t="shared" si="1"/>
        <v>41153</v>
      </c>
      <c r="B24" s="4">
        <v>41182</v>
      </c>
      <c r="C24" s="13">
        <v>41153</v>
      </c>
      <c r="D24" s="14">
        <v>15.7</v>
      </c>
      <c r="E24" s="14">
        <v>8</v>
      </c>
      <c r="F24" s="17">
        <v>9.73</v>
      </c>
    </row>
    <row r="25" spans="1:6" s="1" customFormat="1" ht="14.9" customHeight="1" x14ac:dyDescent="0.25">
      <c r="A25" s="3">
        <f t="shared" si="1"/>
        <v>41183</v>
      </c>
      <c r="B25" s="4">
        <v>41213</v>
      </c>
      <c r="C25" s="13">
        <v>41183</v>
      </c>
      <c r="D25" s="15">
        <v>15.898629</v>
      </c>
      <c r="E25" s="15">
        <v>8</v>
      </c>
      <c r="F25" s="12">
        <v>9.75</v>
      </c>
    </row>
    <row r="26" spans="1:6" s="1" customFormat="1" ht="17.5" customHeight="1" x14ac:dyDescent="0.25">
      <c r="A26" s="3">
        <f t="shared" si="1"/>
        <v>41214</v>
      </c>
      <c r="B26" s="4">
        <v>41243</v>
      </c>
      <c r="C26" s="13">
        <v>41214</v>
      </c>
      <c r="D26" s="14">
        <v>17.040109000000001</v>
      </c>
      <c r="E26" s="14">
        <v>8</v>
      </c>
      <c r="F26" s="17">
        <v>9.9</v>
      </c>
    </row>
    <row r="27" spans="1:6" s="1" customFormat="1" ht="17.5" customHeight="1" x14ac:dyDescent="0.25">
      <c r="A27" s="3">
        <f t="shared" si="1"/>
        <v>41244</v>
      </c>
      <c r="B27" s="4">
        <v>41274</v>
      </c>
      <c r="C27" s="13">
        <v>41244</v>
      </c>
      <c r="D27" s="15">
        <v>15.09074</v>
      </c>
      <c r="E27" s="15">
        <v>8</v>
      </c>
      <c r="F27" s="12">
        <v>10.56</v>
      </c>
    </row>
    <row r="28" spans="1:6" s="1" customFormat="1" ht="17.5" customHeight="1" x14ac:dyDescent="0.25">
      <c r="A28" s="3">
        <f t="shared" ref="A28:A39" si="2">DATE(2013, MONTH(B28), 1)</f>
        <v>41275</v>
      </c>
      <c r="B28" s="4">
        <v>41305</v>
      </c>
      <c r="C28" s="13">
        <v>41275</v>
      </c>
      <c r="D28" s="14">
        <v>16.040195000000001</v>
      </c>
      <c r="E28" s="14">
        <v>7.75</v>
      </c>
      <c r="F28" s="17">
        <v>10.79</v>
      </c>
    </row>
    <row r="29" spans="1:6" s="1" customFormat="1" ht="17.5" customHeight="1" x14ac:dyDescent="0.25">
      <c r="A29" s="3">
        <f t="shared" si="2"/>
        <v>41306</v>
      </c>
      <c r="B29" s="4">
        <v>41333</v>
      </c>
      <c r="C29" s="13">
        <v>41306</v>
      </c>
      <c r="D29" s="15">
        <v>16.288343000000001</v>
      </c>
      <c r="E29" s="15">
        <v>7.75</v>
      </c>
      <c r="F29" s="12">
        <v>10.91</v>
      </c>
    </row>
    <row r="30" spans="1:6" s="1" customFormat="1" ht="17.5" customHeight="1" x14ac:dyDescent="0.25">
      <c r="A30" s="3">
        <f t="shared" si="2"/>
        <v>41334</v>
      </c>
      <c r="B30" s="4">
        <v>41364</v>
      </c>
      <c r="C30" s="13">
        <v>41334</v>
      </c>
      <c r="D30" s="14">
        <v>14.063910999999999</v>
      </c>
      <c r="E30" s="14">
        <v>7.5</v>
      </c>
      <c r="F30" s="17">
        <v>10.39</v>
      </c>
    </row>
    <row r="31" spans="1:6" s="1" customFormat="1" ht="17.5" customHeight="1" x14ac:dyDescent="0.25">
      <c r="A31" s="3">
        <f t="shared" si="2"/>
        <v>41365</v>
      </c>
      <c r="B31" s="4">
        <v>41394</v>
      </c>
      <c r="C31" s="13">
        <v>41365</v>
      </c>
      <c r="D31" s="15">
        <v>14.61828</v>
      </c>
      <c r="E31" s="15">
        <v>7.5</v>
      </c>
      <c r="F31" s="12">
        <v>9.39</v>
      </c>
    </row>
    <row r="32" spans="1:6" s="1" customFormat="1" ht="17.5" customHeight="1" x14ac:dyDescent="0.25">
      <c r="A32" s="3">
        <f t="shared" si="2"/>
        <v>41395</v>
      </c>
      <c r="B32" s="4">
        <v>41425</v>
      </c>
      <c r="C32" s="13">
        <v>41395</v>
      </c>
      <c r="D32" s="14">
        <v>15.140361</v>
      </c>
      <c r="E32" s="14">
        <v>7.25</v>
      </c>
      <c r="F32" s="17">
        <v>9.31</v>
      </c>
    </row>
    <row r="33" spans="1:6" s="1" customFormat="1" ht="17.5" customHeight="1" x14ac:dyDescent="0.25">
      <c r="A33" s="3">
        <f t="shared" si="2"/>
        <v>41426</v>
      </c>
      <c r="B33" s="4">
        <v>41455</v>
      </c>
      <c r="C33" s="13">
        <v>41426</v>
      </c>
      <c r="D33" s="15">
        <v>13.468795</v>
      </c>
      <c r="E33" s="15">
        <v>7.25</v>
      </c>
      <c r="F33" s="12">
        <v>9.8699999999999992</v>
      </c>
    </row>
    <row r="34" spans="1:6" s="1" customFormat="1" ht="17.5" customHeight="1" x14ac:dyDescent="0.25">
      <c r="A34" s="3">
        <f t="shared" si="2"/>
        <v>41456</v>
      </c>
      <c r="B34" s="4">
        <v>41486</v>
      </c>
      <c r="C34" s="13">
        <v>41456</v>
      </c>
      <c r="D34" s="14">
        <v>14.690799</v>
      </c>
      <c r="E34" s="14">
        <v>7.25</v>
      </c>
      <c r="F34" s="17">
        <v>9.64</v>
      </c>
    </row>
    <row r="35" spans="1:6" s="1" customFormat="1" ht="17.5" customHeight="1" x14ac:dyDescent="0.25">
      <c r="A35" s="3">
        <f t="shared" si="2"/>
        <v>41487</v>
      </c>
      <c r="B35" s="4">
        <v>41517</v>
      </c>
      <c r="C35" s="13">
        <v>41487</v>
      </c>
      <c r="D35" s="15">
        <v>16.28</v>
      </c>
      <c r="E35" s="15">
        <v>7.25</v>
      </c>
      <c r="F35" s="12">
        <v>9.52</v>
      </c>
    </row>
    <row r="36" spans="1:6" s="1" customFormat="1" ht="17.5" customHeight="1" x14ac:dyDescent="0.25">
      <c r="A36" s="3">
        <f t="shared" si="2"/>
        <v>41518</v>
      </c>
      <c r="B36" s="4">
        <v>41547</v>
      </c>
      <c r="C36" s="13">
        <v>41518</v>
      </c>
      <c r="D36" s="14">
        <v>15.03</v>
      </c>
      <c r="E36" s="14">
        <v>7.5</v>
      </c>
      <c r="F36" s="17">
        <v>9.84</v>
      </c>
    </row>
    <row r="37" spans="1:6" s="1" customFormat="1" ht="14.9" customHeight="1" x14ac:dyDescent="0.25">
      <c r="A37" s="3">
        <f t="shared" si="2"/>
        <v>41548</v>
      </c>
      <c r="B37" s="4">
        <v>41578</v>
      </c>
      <c r="C37" s="13">
        <v>41548</v>
      </c>
      <c r="D37" s="15">
        <v>16.030463000000001</v>
      </c>
      <c r="E37" s="15">
        <v>7.75</v>
      </c>
      <c r="F37" s="12">
        <v>10.17</v>
      </c>
    </row>
    <row r="38" spans="1:6" s="1" customFormat="1" ht="17.5" customHeight="1" x14ac:dyDescent="0.25">
      <c r="A38" s="3">
        <f t="shared" si="2"/>
        <v>41579</v>
      </c>
      <c r="B38" s="4">
        <v>41608</v>
      </c>
      <c r="C38" s="13">
        <v>41579</v>
      </c>
      <c r="D38" s="14">
        <v>13.867374999999999</v>
      </c>
      <c r="E38" s="14">
        <v>7.75</v>
      </c>
      <c r="F38" s="17">
        <v>11.164274000000001</v>
      </c>
    </row>
    <row r="39" spans="1:6" s="1" customFormat="1" ht="17.5" customHeight="1" x14ac:dyDescent="0.25">
      <c r="A39" s="3">
        <f t="shared" si="2"/>
        <v>41609</v>
      </c>
      <c r="B39" s="4">
        <v>41639</v>
      </c>
      <c r="C39" s="13">
        <v>41609</v>
      </c>
      <c r="D39" s="15">
        <v>14.235248</v>
      </c>
      <c r="E39" s="15">
        <v>7.75</v>
      </c>
      <c r="F39" s="12">
        <v>9.8699999999999992</v>
      </c>
    </row>
    <row r="40" spans="1:6" s="1" customFormat="1" ht="17.5" customHeight="1" x14ac:dyDescent="0.25">
      <c r="A40" s="3">
        <f t="shared" ref="A40:A51" si="3">DATE(2014, MONTH(B40), 1)</f>
        <v>41640</v>
      </c>
      <c r="B40" s="4">
        <v>41670</v>
      </c>
      <c r="C40" s="13">
        <v>41640</v>
      </c>
      <c r="D40" s="14">
        <v>14.688673</v>
      </c>
      <c r="E40" s="14">
        <v>8</v>
      </c>
      <c r="F40" s="17">
        <v>8.6042070000000006</v>
      </c>
    </row>
    <row r="41" spans="1:6" s="1" customFormat="1" ht="17.5" customHeight="1" x14ac:dyDescent="0.25">
      <c r="A41" s="3">
        <f t="shared" si="3"/>
        <v>41671</v>
      </c>
      <c r="B41" s="4">
        <v>41698</v>
      </c>
      <c r="C41" s="13">
        <v>41671</v>
      </c>
      <c r="D41" s="15">
        <v>15.715225</v>
      </c>
      <c r="E41" s="15">
        <v>8</v>
      </c>
      <c r="F41" s="12">
        <v>7.9</v>
      </c>
    </row>
    <row r="42" spans="1:6" s="1" customFormat="1" ht="17.5" customHeight="1" x14ac:dyDescent="0.25">
      <c r="A42" s="3">
        <f t="shared" si="3"/>
        <v>41699</v>
      </c>
      <c r="B42" s="4">
        <v>41729</v>
      </c>
      <c r="C42" s="13">
        <v>41699</v>
      </c>
      <c r="D42" s="14">
        <v>13.946259</v>
      </c>
      <c r="E42" s="14">
        <v>8</v>
      </c>
      <c r="F42" s="17">
        <v>8.1999999999999993</v>
      </c>
    </row>
    <row r="43" spans="1:6" s="1" customFormat="1" ht="17.5" customHeight="1" x14ac:dyDescent="0.25">
      <c r="A43" s="3">
        <f t="shared" si="3"/>
        <v>41730</v>
      </c>
      <c r="B43" s="4">
        <v>41759</v>
      </c>
      <c r="C43" s="13">
        <v>41730</v>
      </c>
      <c r="D43" s="15">
        <v>13.778458000000001</v>
      </c>
      <c r="E43" s="15">
        <v>8</v>
      </c>
      <c r="F43" s="12">
        <v>8.5</v>
      </c>
    </row>
    <row r="44" spans="1:6" s="1" customFormat="1" ht="17.5" customHeight="1" x14ac:dyDescent="0.25">
      <c r="A44" s="3">
        <f t="shared" si="3"/>
        <v>41760</v>
      </c>
      <c r="B44" s="4">
        <v>41790</v>
      </c>
      <c r="C44" s="13">
        <v>41760</v>
      </c>
      <c r="D44" s="14">
        <v>12.530638</v>
      </c>
      <c r="E44" s="14">
        <v>8</v>
      </c>
      <c r="F44" s="17">
        <v>8.2817340000000002</v>
      </c>
    </row>
    <row r="45" spans="1:6" s="1" customFormat="1" ht="17.5" customHeight="1" x14ac:dyDescent="0.25">
      <c r="A45" s="3">
        <f t="shared" si="3"/>
        <v>41791</v>
      </c>
      <c r="B45" s="4">
        <v>41820</v>
      </c>
      <c r="C45" s="13">
        <v>41791</v>
      </c>
      <c r="D45" s="15">
        <v>12.774061</v>
      </c>
      <c r="E45" s="15">
        <v>8</v>
      </c>
      <c r="F45" s="12">
        <v>6.8</v>
      </c>
    </row>
    <row r="46" spans="1:6" s="1" customFormat="1" ht="17.5" customHeight="1" x14ac:dyDescent="0.25">
      <c r="A46" s="3">
        <f t="shared" si="3"/>
        <v>41821</v>
      </c>
      <c r="B46" s="4">
        <v>41851</v>
      </c>
      <c r="C46" s="13">
        <v>41821</v>
      </c>
      <c r="D46" s="14">
        <v>12.762869</v>
      </c>
      <c r="E46" s="14">
        <v>8</v>
      </c>
      <c r="F46" s="17">
        <v>7.4</v>
      </c>
    </row>
    <row r="47" spans="1:6" s="1" customFormat="1" ht="17.5" customHeight="1" x14ac:dyDescent="0.25">
      <c r="A47" s="3">
        <f t="shared" si="3"/>
        <v>41852</v>
      </c>
      <c r="B47" s="4">
        <v>41882</v>
      </c>
      <c r="C47" s="13">
        <v>41852</v>
      </c>
      <c r="D47" s="15">
        <v>10.38</v>
      </c>
      <c r="E47" s="15">
        <v>8</v>
      </c>
      <c r="F47" s="12">
        <v>7</v>
      </c>
    </row>
    <row r="48" spans="1:6" s="1" customFormat="1" ht="17.5" customHeight="1" x14ac:dyDescent="0.25">
      <c r="A48" s="3">
        <f t="shared" si="3"/>
        <v>41883</v>
      </c>
      <c r="B48" s="4">
        <v>41912</v>
      </c>
      <c r="C48" s="13">
        <v>41883</v>
      </c>
      <c r="D48" s="14">
        <v>9.6418040000000005</v>
      </c>
      <c r="E48" s="14">
        <v>8</v>
      </c>
      <c r="F48" s="17">
        <v>5.6</v>
      </c>
    </row>
    <row r="49" spans="1:6" s="1" customFormat="1" ht="14.9" customHeight="1" x14ac:dyDescent="0.25">
      <c r="A49" s="3">
        <f t="shared" si="3"/>
        <v>41913</v>
      </c>
      <c r="B49" s="4">
        <v>41943</v>
      </c>
      <c r="C49" s="13">
        <v>41913</v>
      </c>
      <c r="D49" s="15">
        <v>10.7</v>
      </c>
      <c r="E49" s="15">
        <v>8</v>
      </c>
      <c r="F49" s="12">
        <v>4.5999999999999996</v>
      </c>
    </row>
    <row r="50" spans="1:6" s="1" customFormat="1" ht="17.5" customHeight="1" x14ac:dyDescent="0.25">
      <c r="A50" s="3">
        <f t="shared" si="3"/>
        <v>41944</v>
      </c>
      <c r="B50" s="4">
        <v>41973</v>
      </c>
      <c r="C50" s="13">
        <v>41944</v>
      </c>
      <c r="D50" s="14">
        <v>10.783134</v>
      </c>
      <c r="E50" s="14">
        <v>8</v>
      </c>
      <c r="F50" s="17">
        <v>3.2674120000000002</v>
      </c>
    </row>
    <row r="51" spans="1:6" s="1" customFormat="1" ht="17.5" customHeight="1" x14ac:dyDescent="0.25">
      <c r="A51" s="3">
        <f t="shared" si="3"/>
        <v>41974</v>
      </c>
      <c r="B51" s="4">
        <v>42004</v>
      </c>
      <c r="C51" s="13">
        <v>41974</v>
      </c>
      <c r="D51" s="15">
        <v>10.053072999999999</v>
      </c>
      <c r="E51" s="15">
        <v>8</v>
      </c>
      <c r="F51" s="12">
        <v>4.2794759999999998</v>
      </c>
    </row>
    <row r="52" spans="1:6" s="1" customFormat="1" ht="17.5" customHeight="1" x14ac:dyDescent="0.25">
      <c r="A52" s="3">
        <f t="shared" ref="A52:A63" si="4">DATE(2015, MONTH(B52), 1)</f>
        <v>42005</v>
      </c>
      <c r="B52" s="4">
        <v>42035</v>
      </c>
      <c r="C52" s="13">
        <v>42005</v>
      </c>
      <c r="D52" s="14">
        <v>9.2638809999999996</v>
      </c>
      <c r="E52" s="14">
        <v>7.75</v>
      </c>
      <c r="F52" s="17">
        <v>5.1936619999999998</v>
      </c>
    </row>
    <row r="53" spans="1:6" s="1" customFormat="1" ht="17.5" customHeight="1" x14ac:dyDescent="0.25">
      <c r="A53" s="3">
        <f t="shared" si="4"/>
        <v>42036</v>
      </c>
      <c r="B53" s="4">
        <v>42063</v>
      </c>
      <c r="C53" s="13">
        <v>42036</v>
      </c>
      <c r="D53" s="15">
        <v>8.8772850000000005</v>
      </c>
      <c r="E53" s="15">
        <v>7.75</v>
      </c>
      <c r="F53" s="12">
        <v>5.3697179999999998</v>
      </c>
    </row>
    <row r="54" spans="1:6" s="1" customFormat="1" ht="17.5" customHeight="1" x14ac:dyDescent="0.25">
      <c r="A54" s="3">
        <f t="shared" si="4"/>
        <v>42064</v>
      </c>
      <c r="B54" s="4">
        <v>42094</v>
      </c>
      <c r="C54" s="13">
        <v>42064</v>
      </c>
      <c r="D54" s="14">
        <v>9.5189869999999992</v>
      </c>
      <c r="E54" s="14">
        <v>7.5</v>
      </c>
      <c r="F54" s="17">
        <v>5.2539400000000001</v>
      </c>
    </row>
    <row r="55" spans="1:6" s="1" customFormat="1" ht="17.5" customHeight="1" x14ac:dyDescent="0.25">
      <c r="A55" s="3">
        <f t="shared" si="4"/>
        <v>42095</v>
      </c>
      <c r="B55" s="4">
        <v>42124</v>
      </c>
      <c r="C55" s="13">
        <v>42095</v>
      </c>
      <c r="D55" s="15">
        <v>9.7744160000000004</v>
      </c>
      <c r="E55" s="15">
        <v>7.5</v>
      </c>
      <c r="F55" s="12">
        <v>4.8653339999999998</v>
      </c>
    </row>
    <row r="56" spans="1:6" s="1" customFormat="1" ht="17.5" customHeight="1" x14ac:dyDescent="0.25">
      <c r="A56" s="3">
        <f t="shared" si="4"/>
        <v>42125</v>
      </c>
      <c r="B56" s="4">
        <v>42155</v>
      </c>
      <c r="C56" s="13">
        <v>42125</v>
      </c>
      <c r="D56" s="14">
        <v>9.3000000000000007</v>
      </c>
      <c r="E56" s="14">
        <v>7.5</v>
      </c>
      <c r="F56" s="17">
        <v>5.0086360000000001</v>
      </c>
    </row>
    <row r="57" spans="1:6" s="1" customFormat="1" ht="17.5" customHeight="1" x14ac:dyDescent="0.25">
      <c r="A57" s="3">
        <f t="shared" si="4"/>
        <v>42156</v>
      </c>
      <c r="B57" s="4">
        <v>42185</v>
      </c>
      <c r="C57" s="13">
        <v>42156</v>
      </c>
      <c r="D57" s="15">
        <v>8.7889180000000007</v>
      </c>
      <c r="E57" s="15">
        <v>7.25</v>
      </c>
      <c r="F57" s="12">
        <v>5.3984579999999998</v>
      </c>
    </row>
    <row r="58" spans="1:6" s="1" customFormat="1" ht="17.5" customHeight="1" x14ac:dyDescent="0.25">
      <c r="A58" s="3">
        <f t="shared" si="4"/>
        <v>42186</v>
      </c>
      <c r="B58" s="4">
        <v>42216</v>
      </c>
      <c r="C58" s="13">
        <v>42186</v>
      </c>
      <c r="D58" s="14">
        <v>10</v>
      </c>
      <c r="E58" s="14">
        <v>7.25</v>
      </c>
      <c r="F58" s="17">
        <v>3.6912750000000001</v>
      </c>
    </row>
    <row r="59" spans="1:6" s="1" customFormat="1" ht="17.5" customHeight="1" x14ac:dyDescent="0.25">
      <c r="A59" s="3">
        <f t="shared" si="4"/>
        <v>42217</v>
      </c>
      <c r="B59" s="4">
        <v>42247</v>
      </c>
      <c r="C59" s="13">
        <v>42217</v>
      </c>
      <c r="D59" s="15">
        <v>8.8000000000000007</v>
      </c>
      <c r="E59" s="15">
        <v>7.25</v>
      </c>
      <c r="F59" s="12">
        <v>3.7406480000000002</v>
      </c>
    </row>
    <row r="60" spans="1:6" s="1" customFormat="1" ht="17.5" customHeight="1" x14ac:dyDescent="0.25">
      <c r="A60" s="3">
        <f t="shared" si="4"/>
        <v>42248</v>
      </c>
      <c r="B60" s="4">
        <v>42277</v>
      </c>
      <c r="C60" s="13">
        <v>42248</v>
      </c>
      <c r="D60" s="14">
        <v>9.1245440000000002</v>
      </c>
      <c r="E60" s="14">
        <v>7.25</v>
      </c>
      <c r="F60" s="17">
        <v>4.4129889999999996</v>
      </c>
    </row>
    <row r="61" spans="1:6" s="1" customFormat="1" ht="14.9" customHeight="1" x14ac:dyDescent="0.25">
      <c r="A61" s="3">
        <f t="shared" si="4"/>
        <v>42278</v>
      </c>
      <c r="B61" s="4">
        <v>42308</v>
      </c>
      <c r="C61" s="13">
        <v>42278</v>
      </c>
      <c r="D61" s="15">
        <v>8.8151379999999993</v>
      </c>
      <c r="E61" s="15">
        <v>6.75</v>
      </c>
      <c r="F61" s="12">
        <v>4.9958369999999999</v>
      </c>
    </row>
    <row r="62" spans="1:6" s="1" customFormat="1" ht="17.5" customHeight="1" x14ac:dyDescent="0.25">
      <c r="A62" s="3">
        <f t="shared" si="4"/>
        <v>42309</v>
      </c>
      <c r="B62" s="4">
        <v>42338</v>
      </c>
      <c r="C62" s="13">
        <v>42309</v>
      </c>
      <c r="D62" s="14">
        <v>9.3329009999999997</v>
      </c>
      <c r="E62" s="14">
        <v>6.75</v>
      </c>
      <c r="F62" s="17">
        <v>5.4121569999999997</v>
      </c>
    </row>
    <row r="63" spans="1:6" s="1" customFormat="1" ht="17.5" customHeight="1" x14ac:dyDescent="0.25">
      <c r="A63" s="3">
        <f t="shared" si="4"/>
        <v>42339</v>
      </c>
      <c r="B63" s="4">
        <v>42369</v>
      </c>
      <c r="C63" s="13">
        <v>42339</v>
      </c>
      <c r="D63" s="15">
        <v>10.599386000000001</v>
      </c>
      <c r="E63" s="15">
        <v>6.75</v>
      </c>
      <c r="F63" s="12">
        <v>5.6113900000000001</v>
      </c>
    </row>
    <row r="64" spans="1:6" s="1" customFormat="1" ht="17.5" customHeight="1" x14ac:dyDescent="0.25">
      <c r="A64" s="3">
        <f t="shared" ref="A64:A75" si="5">DATE(2016, MONTH(B64), 1)</f>
        <v>42370</v>
      </c>
      <c r="B64" s="4">
        <v>42400</v>
      </c>
      <c r="C64" s="13">
        <v>42370</v>
      </c>
      <c r="D64" s="14">
        <v>11.079152000000001</v>
      </c>
      <c r="E64" s="14">
        <v>6.75</v>
      </c>
      <c r="F64" s="17">
        <v>5.6903769999999998</v>
      </c>
    </row>
    <row r="65" spans="1:6" s="1" customFormat="1" ht="17.5" customHeight="1" x14ac:dyDescent="0.25">
      <c r="A65" s="3">
        <f t="shared" si="5"/>
        <v>42401</v>
      </c>
      <c r="B65" s="4">
        <v>42429</v>
      </c>
      <c r="C65" s="13">
        <v>42401</v>
      </c>
      <c r="D65" s="15">
        <v>11.041645000000001</v>
      </c>
      <c r="E65" s="15">
        <v>6.75</v>
      </c>
      <c r="F65" s="12">
        <v>5.2631579999999998</v>
      </c>
    </row>
    <row r="66" spans="1:6" s="1" customFormat="1" ht="17.5" customHeight="1" x14ac:dyDescent="0.25">
      <c r="A66" s="3">
        <f t="shared" si="5"/>
        <v>42430</v>
      </c>
      <c r="B66" s="4">
        <v>42460</v>
      </c>
      <c r="C66" s="13">
        <v>42430</v>
      </c>
      <c r="D66" s="14">
        <v>10.911085999999999</v>
      </c>
      <c r="E66" s="14">
        <v>6.75</v>
      </c>
      <c r="F66" s="17">
        <v>4.825291</v>
      </c>
    </row>
    <row r="67" spans="1:6" s="1" customFormat="1" ht="17.5" customHeight="1" x14ac:dyDescent="0.25">
      <c r="A67" s="3">
        <f t="shared" si="5"/>
        <v>42461</v>
      </c>
      <c r="B67" s="4">
        <v>42490</v>
      </c>
      <c r="C67" s="13">
        <v>42461</v>
      </c>
      <c r="D67" s="15">
        <v>8.7377680000000009</v>
      </c>
      <c r="E67" s="15">
        <v>6.5</v>
      </c>
      <c r="F67" s="12">
        <v>5.4681030000000002</v>
      </c>
    </row>
    <row r="68" spans="1:6" s="1" customFormat="1" ht="17.5" customHeight="1" x14ac:dyDescent="0.25">
      <c r="A68" s="3">
        <f t="shared" si="5"/>
        <v>42491</v>
      </c>
      <c r="B68" s="4">
        <v>42521</v>
      </c>
      <c r="C68" s="13">
        <v>42491</v>
      </c>
      <c r="D68" s="14">
        <v>9.3864009999999993</v>
      </c>
      <c r="E68" s="14">
        <v>6.5</v>
      </c>
      <c r="F68" s="17">
        <v>5.7565790000000003</v>
      </c>
    </row>
    <row r="69" spans="1:6" s="1" customFormat="1" ht="17.5" customHeight="1" x14ac:dyDescent="0.25">
      <c r="A69" s="3">
        <f t="shared" si="5"/>
        <v>42522</v>
      </c>
      <c r="B69" s="4">
        <v>42551</v>
      </c>
      <c r="C69" s="13">
        <v>42522</v>
      </c>
      <c r="D69" s="15">
        <v>9.0087510000000002</v>
      </c>
      <c r="E69" s="15">
        <v>6.5</v>
      </c>
      <c r="F69" s="12">
        <v>5.7723579999999997</v>
      </c>
    </row>
    <row r="70" spans="1:6" s="1" customFormat="1" ht="17.5" customHeight="1" x14ac:dyDescent="0.25">
      <c r="A70" s="3">
        <f t="shared" si="5"/>
        <v>42552</v>
      </c>
      <c r="B70" s="4">
        <v>42582</v>
      </c>
      <c r="C70" s="13">
        <v>42552</v>
      </c>
      <c r="D70" s="14">
        <v>8.4</v>
      </c>
      <c r="E70" s="14">
        <v>6.5</v>
      </c>
      <c r="F70" s="17">
        <v>6.0679610000000004</v>
      </c>
    </row>
    <row r="71" spans="1:6" s="1" customFormat="1" ht="17.5" customHeight="1" x14ac:dyDescent="0.25">
      <c r="A71" s="3">
        <f t="shared" si="5"/>
        <v>42583</v>
      </c>
      <c r="B71" s="4">
        <v>42613</v>
      </c>
      <c r="C71" s="13">
        <v>42583</v>
      </c>
      <c r="D71" s="15">
        <v>8.9031009999999995</v>
      </c>
      <c r="E71" s="15">
        <v>6.5</v>
      </c>
      <c r="F71" s="12">
        <v>5.0480770000000001</v>
      </c>
    </row>
    <row r="72" spans="1:6" s="1" customFormat="1" ht="17.5" customHeight="1" x14ac:dyDescent="0.25">
      <c r="A72" s="3">
        <f t="shared" si="5"/>
        <v>42614</v>
      </c>
      <c r="B72" s="4">
        <v>42643</v>
      </c>
      <c r="C72" s="13">
        <v>42614</v>
      </c>
      <c r="D72" s="14">
        <v>10.063101</v>
      </c>
      <c r="E72" s="14">
        <v>6.5</v>
      </c>
      <c r="F72" s="17">
        <v>4.3859649999999997</v>
      </c>
    </row>
    <row r="73" spans="1:6" s="1" customFormat="1" ht="14.9" customHeight="1" x14ac:dyDescent="0.25">
      <c r="A73" s="3">
        <f t="shared" si="5"/>
        <v>42644</v>
      </c>
      <c r="B73" s="4">
        <v>42674</v>
      </c>
      <c r="C73" s="13">
        <v>42644</v>
      </c>
      <c r="D73" s="15">
        <v>8.6802139999999994</v>
      </c>
      <c r="E73" s="15">
        <v>6.25</v>
      </c>
      <c r="F73" s="12">
        <v>4.2030130000000003</v>
      </c>
    </row>
    <row r="74" spans="1:6" s="1" customFormat="1" ht="17.5" customHeight="1" x14ac:dyDescent="0.25">
      <c r="A74" s="3">
        <f t="shared" si="5"/>
        <v>42675</v>
      </c>
      <c r="B74" s="4">
        <v>42704</v>
      </c>
      <c r="C74" s="13">
        <v>42675</v>
      </c>
      <c r="D74" s="14">
        <v>6.1791280000000004</v>
      </c>
      <c r="E74" s="14">
        <v>6.25</v>
      </c>
      <c r="F74" s="17">
        <v>3.6334909999999998</v>
      </c>
    </row>
    <row r="75" spans="1:6" s="1" customFormat="1" ht="17.5" customHeight="1" x14ac:dyDescent="0.25">
      <c r="A75" s="3">
        <f t="shared" si="5"/>
        <v>42705</v>
      </c>
      <c r="B75" s="4">
        <v>42735</v>
      </c>
      <c r="C75" s="13">
        <v>42705</v>
      </c>
      <c r="D75" s="15">
        <v>6.0360399999999998</v>
      </c>
      <c r="E75" s="15">
        <v>6.25</v>
      </c>
      <c r="F75" s="12">
        <v>3.4099919999999999</v>
      </c>
    </row>
    <row r="76" spans="1:6" s="1" customFormat="1" ht="17.5" customHeight="1" x14ac:dyDescent="0.25">
      <c r="A76" s="3">
        <f t="shared" ref="A76:A87" si="6">DATE(2017, MONTH(B76), 1)</f>
        <v>42736</v>
      </c>
      <c r="B76" s="4">
        <v>42766</v>
      </c>
      <c r="C76" s="13">
        <v>42736</v>
      </c>
      <c r="D76" s="14">
        <v>4.2642329999999999</v>
      </c>
      <c r="E76" s="14">
        <v>6.25</v>
      </c>
      <c r="F76" s="17">
        <v>3.1670630000000002</v>
      </c>
    </row>
    <row r="77" spans="1:6" s="1" customFormat="1" ht="17.5" customHeight="1" x14ac:dyDescent="0.25">
      <c r="A77" s="3">
        <f t="shared" si="6"/>
        <v>42767</v>
      </c>
      <c r="B77" s="4">
        <v>42794</v>
      </c>
      <c r="C77" s="13">
        <v>42767</v>
      </c>
      <c r="D77" s="15">
        <v>3.646048</v>
      </c>
      <c r="E77" s="15">
        <v>6.25</v>
      </c>
      <c r="F77" s="12">
        <v>3.6507939999999999</v>
      </c>
    </row>
    <row r="78" spans="1:6" s="1" customFormat="1" ht="17.5" customHeight="1" x14ac:dyDescent="0.25">
      <c r="A78" s="3">
        <f t="shared" si="6"/>
        <v>42795</v>
      </c>
      <c r="B78" s="4">
        <v>42825</v>
      </c>
      <c r="C78" s="13">
        <v>42795</v>
      </c>
      <c r="D78" s="14">
        <v>4.5</v>
      </c>
      <c r="E78" s="14">
        <v>6.25</v>
      </c>
      <c r="F78" s="17">
        <v>3.8888889999999998</v>
      </c>
    </row>
    <row r="79" spans="1:6" s="1" customFormat="1" ht="17.5" customHeight="1" x14ac:dyDescent="0.25">
      <c r="A79" s="3">
        <f t="shared" si="6"/>
        <v>42826</v>
      </c>
      <c r="B79" s="4">
        <v>42855</v>
      </c>
      <c r="C79" s="13">
        <v>42826</v>
      </c>
      <c r="D79" s="15">
        <v>4.8</v>
      </c>
      <c r="E79" s="15">
        <v>6.25</v>
      </c>
      <c r="F79" s="12">
        <v>2.9850750000000001</v>
      </c>
    </row>
    <row r="80" spans="1:6" s="1" customFormat="1" ht="17.5" customHeight="1" x14ac:dyDescent="0.25">
      <c r="A80" s="3">
        <f t="shared" si="6"/>
        <v>42856</v>
      </c>
      <c r="B80" s="4">
        <v>42886</v>
      </c>
      <c r="C80" s="13">
        <v>42856</v>
      </c>
      <c r="D80" s="14">
        <v>4.7</v>
      </c>
      <c r="E80" s="14">
        <v>6.25</v>
      </c>
      <c r="F80" s="17">
        <v>2.1772939999999998</v>
      </c>
    </row>
    <row r="81" spans="1:6" s="1" customFormat="1" ht="17.5" customHeight="1" x14ac:dyDescent="0.25">
      <c r="A81" s="3">
        <f t="shared" si="6"/>
        <v>42887</v>
      </c>
      <c r="B81" s="4">
        <v>42916</v>
      </c>
      <c r="C81" s="13">
        <v>42887</v>
      </c>
      <c r="D81" s="15">
        <v>8.1999999999999993</v>
      </c>
      <c r="E81" s="15">
        <v>6.25</v>
      </c>
      <c r="F81" s="12">
        <v>1.460415</v>
      </c>
    </row>
    <row r="82" spans="1:6" s="1" customFormat="1" ht="17.5" customHeight="1" x14ac:dyDescent="0.25">
      <c r="A82" s="3">
        <f t="shared" si="6"/>
        <v>42917</v>
      </c>
      <c r="B82" s="4">
        <v>42947</v>
      </c>
      <c r="C82" s="13">
        <v>42917</v>
      </c>
      <c r="D82" s="14">
        <v>5.7</v>
      </c>
      <c r="E82" s="14">
        <v>6.25</v>
      </c>
      <c r="F82" s="17">
        <v>2.3646069999999999</v>
      </c>
    </row>
    <row r="83" spans="1:6" s="1" customFormat="1" ht="17.5" customHeight="1" x14ac:dyDescent="0.25">
      <c r="A83" s="3">
        <f t="shared" si="6"/>
        <v>42948</v>
      </c>
      <c r="B83" s="4">
        <v>42978</v>
      </c>
      <c r="C83" s="13">
        <v>42948</v>
      </c>
      <c r="D83" s="15">
        <v>6.2</v>
      </c>
      <c r="E83" s="15">
        <v>6</v>
      </c>
      <c r="F83" s="12">
        <v>3.2799390000000002</v>
      </c>
    </row>
    <row r="84" spans="1:6" s="1" customFormat="1" ht="17.5" customHeight="1" x14ac:dyDescent="0.25">
      <c r="A84" s="3">
        <f t="shared" si="6"/>
        <v>42979</v>
      </c>
      <c r="B84" s="4">
        <v>43008</v>
      </c>
      <c r="C84" s="13">
        <v>42979</v>
      </c>
      <c r="D84" s="14">
        <v>6.5</v>
      </c>
      <c r="E84" s="14">
        <v>6</v>
      </c>
      <c r="F84" s="17">
        <v>3.2849499999999998</v>
      </c>
    </row>
    <row r="85" spans="1:6" s="1" customFormat="1" ht="14.9" customHeight="1" x14ac:dyDescent="0.25">
      <c r="A85" s="3">
        <f t="shared" si="6"/>
        <v>43009</v>
      </c>
      <c r="B85" s="4">
        <v>43039</v>
      </c>
      <c r="C85" s="13">
        <v>43009</v>
      </c>
      <c r="D85" s="15">
        <v>6.774146</v>
      </c>
      <c r="E85" s="15">
        <v>6</v>
      </c>
      <c r="F85" s="12">
        <v>3.5768650000000002</v>
      </c>
    </row>
    <row r="86" spans="1:6" s="1" customFormat="1" ht="17.5" customHeight="1" x14ac:dyDescent="0.25">
      <c r="A86" s="3">
        <f t="shared" si="6"/>
        <v>43040</v>
      </c>
      <c r="B86" s="4">
        <v>43069</v>
      </c>
      <c r="C86" s="13">
        <v>43040</v>
      </c>
      <c r="D86" s="14">
        <v>9.2671969999999995</v>
      </c>
      <c r="E86" s="14">
        <v>6</v>
      </c>
      <c r="F86" s="17">
        <v>4.8780489999999999</v>
      </c>
    </row>
    <row r="87" spans="1:6" s="1" customFormat="1" ht="17.5" customHeight="1" x14ac:dyDescent="0.25">
      <c r="A87" s="3">
        <f t="shared" si="6"/>
        <v>43070</v>
      </c>
      <c r="B87" s="4">
        <v>43100</v>
      </c>
      <c r="C87" s="13">
        <v>43070</v>
      </c>
      <c r="D87" s="15">
        <v>10.383152000000001</v>
      </c>
      <c r="E87" s="15">
        <v>6</v>
      </c>
      <c r="F87" s="12">
        <v>5.2147240000000004</v>
      </c>
    </row>
    <row r="88" spans="1:6" s="1" customFormat="1" ht="17.5" customHeight="1" x14ac:dyDescent="0.25">
      <c r="A88" s="3">
        <f t="shared" ref="A88:A99" si="7">DATE(2018, MONTH(B88), 1)</f>
        <v>43101</v>
      </c>
      <c r="B88" s="4">
        <v>43131</v>
      </c>
      <c r="C88" s="13">
        <v>43101</v>
      </c>
      <c r="D88" s="14">
        <v>6.8864539999999996</v>
      </c>
      <c r="E88" s="14">
        <v>6</v>
      </c>
      <c r="F88" s="17">
        <v>5.0652340000000002</v>
      </c>
    </row>
    <row r="89" spans="1:6" s="1" customFormat="1" ht="17.5" customHeight="1" x14ac:dyDescent="0.25">
      <c r="A89" s="3">
        <f t="shared" si="7"/>
        <v>43132</v>
      </c>
      <c r="B89" s="4">
        <v>43159</v>
      </c>
      <c r="C89" s="13">
        <v>43132</v>
      </c>
      <c r="D89" s="15">
        <v>10.800219</v>
      </c>
      <c r="E89" s="15">
        <v>6</v>
      </c>
      <c r="F89" s="12">
        <v>4.4410410000000002</v>
      </c>
    </row>
    <row r="90" spans="1:6" s="1" customFormat="1" ht="17.5" customHeight="1" x14ac:dyDescent="0.25">
      <c r="A90" s="3">
        <f t="shared" si="7"/>
        <v>43160</v>
      </c>
      <c r="B90" s="4">
        <v>43190</v>
      </c>
      <c r="C90" s="13">
        <v>43160</v>
      </c>
      <c r="D90" s="14">
        <v>6.7267929999999998</v>
      </c>
      <c r="E90" s="14">
        <v>6</v>
      </c>
      <c r="F90" s="17">
        <v>4.2780750000000003</v>
      </c>
    </row>
    <row r="91" spans="1:6" s="1" customFormat="1" ht="17.5" customHeight="1" x14ac:dyDescent="0.25">
      <c r="A91" s="3">
        <f t="shared" si="7"/>
        <v>43191</v>
      </c>
      <c r="B91" s="4">
        <v>43220</v>
      </c>
      <c r="C91" s="13">
        <v>43191</v>
      </c>
      <c r="D91" s="15">
        <v>8.9598820000000003</v>
      </c>
      <c r="E91" s="15">
        <v>6</v>
      </c>
      <c r="F91" s="12">
        <v>4.5766590000000003</v>
      </c>
    </row>
    <row r="92" spans="1:6" s="1" customFormat="1" ht="17.5" customHeight="1" x14ac:dyDescent="0.25">
      <c r="A92" s="3">
        <f t="shared" si="7"/>
        <v>43221</v>
      </c>
      <c r="B92" s="4">
        <v>43251</v>
      </c>
      <c r="C92" s="13">
        <v>43221</v>
      </c>
      <c r="D92" s="14">
        <v>12.8</v>
      </c>
      <c r="E92" s="14">
        <v>6</v>
      </c>
      <c r="F92" s="17">
        <v>4.8706240000000003</v>
      </c>
    </row>
    <row r="93" spans="1:6" s="1" customFormat="1" ht="17.5" customHeight="1" x14ac:dyDescent="0.25">
      <c r="A93" s="3">
        <f t="shared" si="7"/>
        <v>43252</v>
      </c>
      <c r="B93" s="4">
        <v>43281</v>
      </c>
      <c r="C93" s="13">
        <v>43252</v>
      </c>
      <c r="D93" s="15">
        <v>10.861523999999999</v>
      </c>
      <c r="E93" s="15">
        <v>6.25</v>
      </c>
      <c r="F93" s="12">
        <v>4.9242419999999996</v>
      </c>
    </row>
    <row r="94" spans="1:6" s="1" customFormat="1" ht="17.5" customHeight="1" x14ac:dyDescent="0.25">
      <c r="A94" s="3">
        <f t="shared" si="7"/>
        <v>43282</v>
      </c>
      <c r="B94" s="4">
        <v>43312</v>
      </c>
      <c r="C94" s="13">
        <v>43282</v>
      </c>
      <c r="D94" s="14">
        <v>12.27033</v>
      </c>
      <c r="E94" s="14">
        <v>6.25</v>
      </c>
      <c r="F94" s="17">
        <v>4.1728759999999996</v>
      </c>
    </row>
    <row r="95" spans="1:6" s="1" customFormat="1" ht="17.5" customHeight="1" x14ac:dyDescent="0.25">
      <c r="A95" s="3">
        <f t="shared" si="7"/>
        <v>43313</v>
      </c>
      <c r="B95" s="4">
        <v>43343</v>
      </c>
      <c r="C95" s="13">
        <v>43313</v>
      </c>
      <c r="D95" s="15">
        <v>13.4</v>
      </c>
      <c r="E95" s="15">
        <v>6.5</v>
      </c>
      <c r="F95" s="12">
        <v>3.6927620000000001</v>
      </c>
    </row>
    <row r="96" spans="1:6" s="1" customFormat="1" ht="17.5" customHeight="1" x14ac:dyDescent="0.25">
      <c r="A96" s="3">
        <f t="shared" si="7"/>
        <v>43344</v>
      </c>
      <c r="B96" s="4">
        <v>43373</v>
      </c>
      <c r="C96" s="13">
        <v>43344</v>
      </c>
      <c r="D96" s="14">
        <v>12.5</v>
      </c>
      <c r="E96" s="14">
        <v>6.5</v>
      </c>
      <c r="F96" s="17">
        <v>3.6982249999999999</v>
      </c>
    </row>
    <row r="97" spans="1:6" s="1" customFormat="1" ht="14.9" customHeight="1" x14ac:dyDescent="0.25">
      <c r="A97" s="3">
        <f t="shared" si="7"/>
        <v>43374</v>
      </c>
      <c r="B97" s="4">
        <v>43404</v>
      </c>
      <c r="C97" s="13">
        <v>43374</v>
      </c>
      <c r="D97" s="15">
        <v>14.6</v>
      </c>
      <c r="E97" s="15">
        <v>6.5</v>
      </c>
      <c r="F97" s="12">
        <v>3.3798680000000001</v>
      </c>
    </row>
    <row r="98" spans="1:6" s="1" customFormat="1" ht="17.5" customHeight="1" x14ac:dyDescent="0.25">
      <c r="A98" s="3">
        <f t="shared" si="7"/>
        <v>43405</v>
      </c>
      <c r="B98" s="4">
        <v>43434</v>
      </c>
      <c r="C98" s="13">
        <v>43405</v>
      </c>
      <c r="D98" s="14">
        <v>16.2</v>
      </c>
      <c r="E98" s="14">
        <v>6.5</v>
      </c>
      <c r="F98" s="17">
        <v>2.3255810000000001</v>
      </c>
    </row>
    <row r="99" spans="1:6" s="1" customFormat="1" ht="17.5" customHeight="1" x14ac:dyDescent="0.25">
      <c r="A99" s="3">
        <f t="shared" si="7"/>
        <v>43435</v>
      </c>
      <c r="B99" s="4">
        <v>43465</v>
      </c>
      <c r="C99" s="13">
        <v>43435</v>
      </c>
      <c r="D99" s="15">
        <v>13.9</v>
      </c>
      <c r="E99" s="15">
        <v>6.5</v>
      </c>
      <c r="F99" s="12">
        <v>2.1137030000000001</v>
      </c>
    </row>
    <row r="100" spans="1:6" s="1" customFormat="1" ht="17.5" customHeight="1" x14ac:dyDescent="0.25">
      <c r="A100" s="3">
        <f t="shared" ref="A100:A111" si="8">DATE(2019, MONTH(B100), 1)</f>
        <v>43466</v>
      </c>
      <c r="B100" s="4">
        <v>43496</v>
      </c>
      <c r="C100" s="13">
        <v>43466</v>
      </c>
      <c r="D100" s="14">
        <v>14.8</v>
      </c>
      <c r="E100" s="14">
        <v>6.5</v>
      </c>
      <c r="F100" s="17">
        <v>1.972243</v>
      </c>
    </row>
    <row r="101" spans="1:6" s="1" customFormat="1" ht="17.5" customHeight="1" x14ac:dyDescent="0.25">
      <c r="A101" s="3">
        <f t="shared" si="8"/>
        <v>43497</v>
      </c>
      <c r="B101" s="4">
        <v>43524</v>
      </c>
      <c r="C101" s="13">
        <v>43497</v>
      </c>
      <c r="D101" s="15">
        <v>14.7</v>
      </c>
      <c r="E101" s="15">
        <v>6.25</v>
      </c>
      <c r="F101" s="12">
        <v>2.565982</v>
      </c>
    </row>
    <row r="102" spans="1:6" s="1" customFormat="1" ht="17.5" customHeight="1" x14ac:dyDescent="0.25">
      <c r="A102" s="3">
        <f t="shared" si="8"/>
        <v>43525</v>
      </c>
      <c r="B102" s="4">
        <v>43555</v>
      </c>
      <c r="C102" s="13">
        <v>43525</v>
      </c>
      <c r="D102" s="14">
        <v>13.3</v>
      </c>
      <c r="E102" s="14">
        <v>6.25</v>
      </c>
      <c r="F102" s="17">
        <v>2.8571430000000002</v>
      </c>
    </row>
    <row r="103" spans="1:6" s="1" customFormat="1" ht="17.5" customHeight="1" x14ac:dyDescent="0.25">
      <c r="A103" s="3">
        <f t="shared" si="8"/>
        <v>43556</v>
      </c>
      <c r="B103" s="4">
        <v>43585</v>
      </c>
      <c r="C103" s="13">
        <v>43556</v>
      </c>
      <c r="D103" s="15">
        <v>13</v>
      </c>
      <c r="E103" s="15">
        <v>6</v>
      </c>
      <c r="F103" s="12">
        <v>2.9905179999999998</v>
      </c>
    </row>
    <row r="104" spans="1:6" s="1" customFormat="1" ht="17.5" customHeight="1" x14ac:dyDescent="0.25">
      <c r="A104" s="3">
        <f t="shared" si="8"/>
        <v>43586</v>
      </c>
      <c r="B104" s="4">
        <v>43616</v>
      </c>
      <c r="C104" s="13">
        <v>43586</v>
      </c>
      <c r="D104" s="14">
        <v>13.5</v>
      </c>
      <c r="E104" s="14">
        <v>6</v>
      </c>
      <c r="F104" s="17">
        <v>3</v>
      </c>
    </row>
    <row r="105" spans="1:6" s="1" customFormat="1" ht="17.5" customHeight="1" x14ac:dyDescent="0.25">
      <c r="A105" s="3">
        <f t="shared" si="8"/>
        <v>43617</v>
      </c>
      <c r="B105" s="4">
        <v>43646</v>
      </c>
      <c r="C105" s="13">
        <v>43617</v>
      </c>
      <c r="D105" s="15">
        <v>11.9</v>
      </c>
      <c r="E105" s="15">
        <v>5.75</v>
      </c>
      <c r="F105" s="12">
        <v>3.176895</v>
      </c>
    </row>
    <row r="106" spans="1:6" s="1" customFormat="1" ht="17.5" customHeight="1" x14ac:dyDescent="0.25">
      <c r="A106" s="3">
        <f t="shared" si="8"/>
        <v>43647</v>
      </c>
      <c r="B106" s="4">
        <v>43677</v>
      </c>
      <c r="C106" s="13">
        <v>43647</v>
      </c>
      <c r="D106" s="14">
        <v>12.1</v>
      </c>
      <c r="E106" s="14">
        <v>5.75</v>
      </c>
      <c r="F106" s="17">
        <v>3.1</v>
      </c>
    </row>
    <row r="107" spans="1:6" s="1" customFormat="1" ht="17.5" customHeight="1" x14ac:dyDescent="0.25">
      <c r="A107" s="3">
        <f t="shared" si="8"/>
        <v>43678</v>
      </c>
      <c r="B107" s="4">
        <v>43708</v>
      </c>
      <c r="C107" s="13">
        <v>43678</v>
      </c>
      <c r="D107" s="15">
        <v>10.199999999999999</v>
      </c>
      <c r="E107" s="15">
        <v>5.4</v>
      </c>
      <c r="F107" s="12">
        <v>3.2763529999999998</v>
      </c>
    </row>
    <row r="108" spans="1:6" s="1" customFormat="1" ht="17.5" customHeight="1" x14ac:dyDescent="0.25">
      <c r="A108" s="3">
        <f t="shared" si="8"/>
        <v>43709</v>
      </c>
      <c r="B108" s="4">
        <v>43738</v>
      </c>
      <c r="C108" s="13">
        <v>43709</v>
      </c>
      <c r="D108" s="14">
        <v>8.8000000000000007</v>
      </c>
      <c r="E108" s="14">
        <v>5.4</v>
      </c>
      <c r="F108" s="17">
        <v>3.994294</v>
      </c>
    </row>
    <row r="109" spans="1:6" s="1" customFormat="1" ht="14.9" customHeight="1" x14ac:dyDescent="0.25">
      <c r="A109" s="3">
        <f t="shared" si="8"/>
        <v>43739</v>
      </c>
      <c r="B109" s="4">
        <v>43769</v>
      </c>
      <c r="C109" s="13">
        <v>43739</v>
      </c>
      <c r="D109" s="15">
        <v>8.9</v>
      </c>
      <c r="E109" s="15">
        <v>5.15</v>
      </c>
      <c r="F109" s="12">
        <v>4.619758</v>
      </c>
    </row>
    <row r="110" spans="1:6" s="1" customFormat="1" ht="17.5" customHeight="1" x14ac:dyDescent="0.25">
      <c r="A110" s="3">
        <f t="shared" si="8"/>
        <v>43770</v>
      </c>
      <c r="B110" s="4">
        <v>43799</v>
      </c>
      <c r="C110" s="13">
        <v>43770</v>
      </c>
      <c r="D110" s="14">
        <v>7.2</v>
      </c>
      <c r="E110" s="14">
        <v>5.15</v>
      </c>
      <c r="F110" s="17">
        <v>5.5397730000000003</v>
      </c>
    </row>
    <row r="111" spans="1:6" s="1" customFormat="1" ht="17.5" customHeight="1" x14ac:dyDescent="0.25">
      <c r="A111" s="3">
        <f t="shared" si="8"/>
        <v>43800</v>
      </c>
      <c r="B111" s="4">
        <v>43830</v>
      </c>
      <c r="C111" s="13">
        <v>43800</v>
      </c>
      <c r="D111" s="15">
        <v>7</v>
      </c>
      <c r="E111" s="15">
        <v>5.15</v>
      </c>
      <c r="F111" s="12">
        <v>7.3518920000000003</v>
      </c>
    </row>
    <row r="112" spans="1:6" s="1" customFormat="1" ht="17.5" customHeight="1" x14ac:dyDescent="0.25">
      <c r="A112" s="3">
        <f t="shared" ref="A112:A123" si="9">DATE(2020, MONTH(B112), 1)</f>
        <v>43831</v>
      </c>
      <c r="B112" s="4">
        <v>43861</v>
      </c>
      <c r="C112" s="13">
        <v>43831</v>
      </c>
      <c r="D112" s="14">
        <v>7.2</v>
      </c>
      <c r="E112" s="14">
        <v>5.15</v>
      </c>
      <c r="F112" s="17">
        <v>7.5931230000000003</v>
      </c>
    </row>
    <row r="113" spans="1:6" s="1" customFormat="1" ht="17.5" customHeight="1" x14ac:dyDescent="0.25">
      <c r="A113" s="3">
        <f t="shared" si="9"/>
        <v>43862</v>
      </c>
      <c r="B113" s="4">
        <v>43890</v>
      </c>
      <c r="C113" s="13">
        <v>43862</v>
      </c>
      <c r="D113" s="15">
        <v>6.1</v>
      </c>
      <c r="E113" s="15">
        <v>5.15</v>
      </c>
      <c r="F113" s="12">
        <v>6.5761260000000004</v>
      </c>
    </row>
    <row r="114" spans="1:6" s="1" customFormat="1" ht="17.5" customHeight="1" x14ac:dyDescent="0.25">
      <c r="A114" s="3">
        <f t="shared" si="9"/>
        <v>43891</v>
      </c>
      <c r="B114" s="4">
        <v>43921</v>
      </c>
      <c r="C114" s="13">
        <v>43891</v>
      </c>
      <c r="D114" s="14">
        <v>6.1</v>
      </c>
      <c r="E114" s="14">
        <v>4.4000000000000004</v>
      </c>
      <c r="F114" s="17">
        <v>5.8404559999999996</v>
      </c>
    </row>
    <row r="115" spans="1:6" s="1" customFormat="1" ht="17.5" customHeight="1" x14ac:dyDescent="0.25">
      <c r="A115" s="3">
        <f t="shared" si="9"/>
        <v>43922</v>
      </c>
      <c r="B115" s="4">
        <v>43951</v>
      </c>
      <c r="C115" s="13">
        <v>43922</v>
      </c>
      <c r="D115" s="15">
        <v>6.8</v>
      </c>
      <c r="E115" s="15">
        <v>4.4000000000000004</v>
      </c>
      <c r="F115" s="12">
        <v>7.2</v>
      </c>
    </row>
    <row r="116" spans="1:6" s="1" customFormat="1" ht="17.5" customHeight="1" x14ac:dyDescent="0.25">
      <c r="A116" s="3">
        <f t="shared" si="9"/>
        <v>43952</v>
      </c>
      <c r="B116" s="4">
        <v>43982</v>
      </c>
      <c r="C116" s="13">
        <v>43952</v>
      </c>
      <c r="D116" s="14">
        <v>5.5</v>
      </c>
      <c r="E116" s="14">
        <v>4</v>
      </c>
      <c r="F116" s="17">
        <v>6.2676059999999998</v>
      </c>
    </row>
    <row r="117" spans="1:6" s="1" customFormat="1" ht="17.5" customHeight="1" x14ac:dyDescent="0.25">
      <c r="A117" s="3">
        <f t="shared" si="9"/>
        <v>43983</v>
      </c>
      <c r="B117" s="4">
        <v>44012</v>
      </c>
      <c r="C117" s="13">
        <v>43983</v>
      </c>
      <c r="D117" s="15">
        <v>5.6</v>
      </c>
      <c r="E117" s="15">
        <v>4</v>
      </c>
      <c r="F117" s="12">
        <v>6.2281319999999996</v>
      </c>
    </row>
    <row r="118" spans="1:6" s="1" customFormat="1" ht="17.5" customHeight="1" x14ac:dyDescent="0.25">
      <c r="A118" s="3">
        <f t="shared" si="9"/>
        <v>44013</v>
      </c>
      <c r="B118" s="4">
        <v>44043</v>
      </c>
      <c r="C118" s="13">
        <v>44013</v>
      </c>
      <c r="D118" s="14">
        <v>5.6846050000000004</v>
      </c>
      <c r="E118" s="14">
        <v>4</v>
      </c>
      <c r="F118" s="17">
        <v>6.7</v>
      </c>
    </row>
    <row r="119" spans="1:6" s="1" customFormat="1" ht="17.5" customHeight="1" x14ac:dyDescent="0.25">
      <c r="A119" s="3">
        <f t="shared" si="9"/>
        <v>44044</v>
      </c>
      <c r="B119" s="4">
        <v>44074</v>
      </c>
      <c r="C119" s="13">
        <v>44044</v>
      </c>
      <c r="D119" s="15">
        <v>5.5</v>
      </c>
      <c r="E119" s="15">
        <v>4</v>
      </c>
      <c r="F119" s="12">
        <v>6.6896550000000001</v>
      </c>
    </row>
    <row r="120" spans="1:6" s="1" customFormat="1" ht="17.5" customHeight="1" x14ac:dyDescent="0.25">
      <c r="A120" s="3">
        <f t="shared" si="9"/>
        <v>44075</v>
      </c>
      <c r="B120" s="4">
        <v>44104</v>
      </c>
      <c r="C120" s="13">
        <v>44075</v>
      </c>
      <c r="D120" s="14">
        <v>5.0999999999999996</v>
      </c>
      <c r="E120" s="14">
        <v>4</v>
      </c>
      <c r="F120" s="17">
        <v>7.3388200000000001</v>
      </c>
    </row>
    <row r="121" spans="1:6" s="1" customFormat="1" ht="14.9" customHeight="1" x14ac:dyDescent="0.25">
      <c r="A121" s="3">
        <f t="shared" si="9"/>
        <v>44105</v>
      </c>
      <c r="B121" s="4">
        <v>44135</v>
      </c>
      <c r="C121" s="13">
        <v>44105</v>
      </c>
      <c r="D121" s="15">
        <v>5.6</v>
      </c>
      <c r="E121" s="15">
        <v>4</v>
      </c>
      <c r="F121" s="12">
        <v>7.6086960000000001</v>
      </c>
    </row>
    <row r="122" spans="1:6" s="1" customFormat="1" ht="17.5" customHeight="1" x14ac:dyDescent="0.25">
      <c r="A122" s="3">
        <f t="shared" si="9"/>
        <v>44136</v>
      </c>
      <c r="B122" s="4">
        <v>44165</v>
      </c>
      <c r="C122" s="13">
        <v>44136</v>
      </c>
      <c r="D122" s="14">
        <v>5.9</v>
      </c>
      <c r="E122" s="14">
        <v>4</v>
      </c>
      <c r="F122" s="17">
        <v>6.9313589999999996</v>
      </c>
    </row>
    <row r="123" spans="1:6" s="1" customFormat="1" ht="17.5" customHeight="1" x14ac:dyDescent="0.25">
      <c r="A123" s="3">
        <f t="shared" si="9"/>
        <v>44166</v>
      </c>
      <c r="B123" s="4">
        <v>44196</v>
      </c>
      <c r="C123" s="13">
        <v>44166</v>
      </c>
      <c r="D123" s="15">
        <v>6.2</v>
      </c>
      <c r="E123" s="15">
        <v>4</v>
      </c>
      <c r="F123" s="12">
        <v>4.5877660000000002</v>
      </c>
    </row>
    <row r="124" spans="1:6" s="1" customFormat="1" ht="17.5" customHeight="1" x14ac:dyDescent="0.25">
      <c r="A124" s="3">
        <f t="shared" ref="A124:A135" si="10">DATE(2021, MONTH(B124), 1)</f>
        <v>44197</v>
      </c>
      <c r="B124" s="4">
        <v>44227</v>
      </c>
      <c r="C124" s="13">
        <v>44197</v>
      </c>
      <c r="D124" s="14">
        <v>5.9</v>
      </c>
      <c r="E124" s="14">
        <v>4</v>
      </c>
      <c r="F124" s="17">
        <v>4.0612519999999996</v>
      </c>
    </row>
    <row r="125" spans="1:6" s="1" customFormat="1" ht="17.5" customHeight="1" x14ac:dyDescent="0.25">
      <c r="A125" s="3">
        <f t="shared" si="10"/>
        <v>44228</v>
      </c>
      <c r="B125" s="4">
        <v>44255</v>
      </c>
      <c r="C125" s="13">
        <v>44228</v>
      </c>
      <c r="D125" s="15">
        <v>6.6</v>
      </c>
      <c r="E125" s="15">
        <v>4</v>
      </c>
      <c r="F125" s="12">
        <v>5.0301809999999998</v>
      </c>
    </row>
    <row r="126" spans="1:6" s="1" customFormat="1" ht="17.5" customHeight="1" x14ac:dyDescent="0.25">
      <c r="A126" s="3">
        <f t="shared" si="10"/>
        <v>44256</v>
      </c>
      <c r="B126" s="4">
        <v>44286</v>
      </c>
      <c r="C126" s="13">
        <v>44256</v>
      </c>
      <c r="D126" s="14">
        <v>5.5795880000000002</v>
      </c>
      <c r="E126" s="14">
        <v>4</v>
      </c>
      <c r="F126" s="17">
        <v>5.5</v>
      </c>
    </row>
    <row r="127" spans="1:6" s="1" customFormat="1" ht="17.5" customHeight="1" x14ac:dyDescent="0.25">
      <c r="A127" s="3">
        <f t="shared" si="10"/>
        <v>44287</v>
      </c>
      <c r="B127" s="4">
        <v>44316</v>
      </c>
      <c r="C127" s="13">
        <v>44287</v>
      </c>
      <c r="D127" s="15">
        <v>6.2333980000000002</v>
      </c>
      <c r="E127" s="15">
        <v>4</v>
      </c>
      <c r="F127" s="12">
        <v>4.2</v>
      </c>
    </row>
    <row r="128" spans="1:6" s="1" customFormat="1" ht="17.5" customHeight="1" x14ac:dyDescent="0.25">
      <c r="A128" s="3">
        <f t="shared" si="10"/>
        <v>44317</v>
      </c>
      <c r="B128" s="4">
        <v>44347</v>
      </c>
      <c r="C128" s="13">
        <v>44317</v>
      </c>
      <c r="D128" s="14">
        <v>5.9</v>
      </c>
      <c r="E128" s="14">
        <v>4</v>
      </c>
      <c r="F128" s="17">
        <v>6.29556</v>
      </c>
    </row>
    <row r="129" spans="1:6" s="1" customFormat="1" ht="17.5" customHeight="1" x14ac:dyDescent="0.25">
      <c r="A129" s="3">
        <f t="shared" si="10"/>
        <v>44348</v>
      </c>
      <c r="B129" s="4">
        <v>44377</v>
      </c>
      <c r="C129" s="13">
        <v>44348</v>
      </c>
      <c r="D129" s="15">
        <v>6.1</v>
      </c>
      <c r="E129" s="15">
        <v>4</v>
      </c>
      <c r="F129" s="12">
        <v>6.258235</v>
      </c>
    </row>
    <row r="130" spans="1:6" s="1" customFormat="1" ht="17.5" customHeight="1" x14ac:dyDescent="0.25">
      <c r="A130" s="3">
        <f t="shared" si="10"/>
        <v>44378</v>
      </c>
      <c r="B130" s="4">
        <v>44408</v>
      </c>
      <c r="C130" s="13">
        <v>44378</v>
      </c>
      <c r="D130" s="14">
        <v>6.1</v>
      </c>
      <c r="E130" s="14">
        <v>4</v>
      </c>
      <c r="F130" s="17">
        <v>5.588044</v>
      </c>
    </row>
    <row r="131" spans="1:6" s="1" customFormat="1" ht="17.5" customHeight="1" x14ac:dyDescent="0.25">
      <c r="A131" s="3">
        <f t="shared" si="10"/>
        <v>44409</v>
      </c>
      <c r="B131" s="4">
        <v>44439</v>
      </c>
      <c r="C131" s="13">
        <v>44409</v>
      </c>
      <c r="D131" s="15">
        <v>6.670248</v>
      </c>
      <c r="E131" s="15">
        <v>4</v>
      </c>
      <c r="F131" s="12">
        <v>5.3005820000000003</v>
      </c>
    </row>
    <row r="132" spans="1:6" s="1" customFormat="1" ht="17.5" customHeight="1" x14ac:dyDescent="0.25">
      <c r="A132" s="3">
        <f t="shared" si="10"/>
        <v>44440</v>
      </c>
      <c r="B132" s="4">
        <v>44469</v>
      </c>
      <c r="C132" s="13">
        <v>44440</v>
      </c>
      <c r="D132" s="14">
        <v>6.7</v>
      </c>
      <c r="E132" s="14">
        <v>4</v>
      </c>
      <c r="F132" s="17">
        <v>4.324783</v>
      </c>
    </row>
    <row r="133" spans="1:6" s="1" customFormat="1" ht="14.9" customHeight="1" x14ac:dyDescent="0.25">
      <c r="A133" s="3">
        <f t="shared" si="10"/>
        <v>44470</v>
      </c>
      <c r="B133" s="4">
        <v>44500</v>
      </c>
      <c r="C133" s="13">
        <v>44470</v>
      </c>
      <c r="D133" s="15">
        <v>6.908366</v>
      </c>
      <c r="E133" s="15">
        <v>4</v>
      </c>
      <c r="F133" s="12">
        <v>4.4823230000000001</v>
      </c>
    </row>
    <row r="134" spans="1:6" s="1" customFormat="1" ht="17.5" customHeight="1" x14ac:dyDescent="0.25">
      <c r="A134" s="3">
        <f t="shared" si="10"/>
        <v>44501</v>
      </c>
      <c r="B134" s="4">
        <v>44530</v>
      </c>
      <c r="C134" s="13">
        <v>44501</v>
      </c>
      <c r="D134" s="14">
        <v>6.9405299999999999</v>
      </c>
      <c r="E134" s="14">
        <v>4</v>
      </c>
      <c r="F134" s="17">
        <v>4.908747</v>
      </c>
    </row>
    <row r="135" spans="1:6" s="1" customFormat="1" ht="17.5" customHeight="1" x14ac:dyDescent="0.25">
      <c r="A135" s="3">
        <f t="shared" si="10"/>
        <v>44531</v>
      </c>
      <c r="B135" s="4">
        <v>44561</v>
      </c>
      <c r="C135" s="13">
        <v>44531</v>
      </c>
      <c r="D135" s="15">
        <v>9.2524320000000007</v>
      </c>
      <c r="E135" s="15">
        <v>4</v>
      </c>
      <c r="F135" s="12">
        <v>5.7</v>
      </c>
    </row>
    <row r="136" spans="1:6" s="1" customFormat="1" ht="17.5" customHeight="1" x14ac:dyDescent="0.25">
      <c r="A136" s="3">
        <f t="shared" ref="A136:A147" si="11">DATE(2022, MONTH(B136), 1)</f>
        <v>44562</v>
      </c>
      <c r="B136" s="4">
        <v>44592</v>
      </c>
      <c r="C136" s="13">
        <v>44562</v>
      </c>
      <c r="D136" s="14">
        <v>8.1853400000000001</v>
      </c>
      <c r="E136" s="14">
        <v>4</v>
      </c>
      <c r="F136" s="17">
        <v>6.0140750000000001</v>
      </c>
    </row>
    <row r="137" spans="1:6" s="1" customFormat="1" ht="17.5" customHeight="1" x14ac:dyDescent="0.25">
      <c r="A137" s="3">
        <f t="shared" si="11"/>
        <v>44593</v>
      </c>
      <c r="B137" s="4">
        <v>44620</v>
      </c>
      <c r="C137" s="13">
        <v>44593</v>
      </c>
      <c r="D137" s="15">
        <v>9.1034550000000003</v>
      </c>
      <c r="E137" s="15">
        <v>4</v>
      </c>
      <c r="F137" s="12">
        <v>6.0664110000000004</v>
      </c>
    </row>
    <row r="138" spans="1:6" s="1" customFormat="1" ht="17.5" customHeight="1" x14ac:dyDescent="0.25">
      <c r="A138" s="3">
        <f t="shared" si="11"/>
        <v>44621</v>
      </c>
      <c r="B138" s="4">
        <v>44651</v>
      </c>
      <c r="C138" s="13">
        <v>44621</v>
      </c>
      <c r="D138" s="14">
        <v>9.6</v>
      </c>
      <c r="E138" s="14">
        <v>4</v>
      </c>
      <c r="F138" s="17">
        <v>6.9515310000000001</v>
      </c>
    </row>
    <row r="139" spans="1:6" s="1" customFormat="1" ht="17.5" customHeight="1" x14ac:dyDescent="0.25">
      <c r="A139" s="3">
        <f t="shared" si="11"/>
        <v>44652</v>
      </c>
      <c r="B139" s="4">
        <v>44681</v>
      </c>
      <c r="C139" s="13">
        <v>44652</v>
      </c>
      <c r="D139" s="15">
        <v>11</v>
      </c>
      <c r="E139" s="15">
        <v>4</v>
      </c>
      <c r="F139" s="12">
        <v>7.7946770000000001</v>
      </c>
    </row>
    <row r="140" spans="1:6" s="1" customFormat="1" ht="17.5" customHeight="1" x14ac:dyDescent="0.25">
      <c r="A140" s="3">
        <f t="shared" si="11"/>
        <v>44682</v>
      </c>
      <c r="B140" s="4">
        <v>44712</v>
      </c>
      <c r="C140" s="13">
        <v>44682</v>
      </c>
      <c r="D140" s="14">
        <v>12.5</v>
      </c>
      <c r="E140" s="14">
        <v>4.4000000000000004</v>
      </c>
      <c r="F140" s="17">
        <v>7</v>
      </c>
    </row>
    <row r="141" spans="1:6" s="1" customFormat="1" ht="17.5" customHeight="1" x14ac:dyDescent="0.25">
      <c r="A141" s="3">
        <f t="shared" si="11"/>
        <v>44713</v>
      </c>
      <c r="B141" s="4">
        <v>44742</v>
      </c>
      <c r="C141" s="13">
        <v>44713</v>
      </c>
      <c r="D141" s="15">
        <v>13.351359</v>
      </c>
      <c r="E141" s="15">
        <v>4.9000000000000004</v>
      </c>
      <c r="F141" s="12">
        <v>7</v>
      </c>
    </row>
    <row r="142" spans="1:6" s="1" customFormat="1" ht="17.5" customHeight="1" x14ac:dyDescent="0.25">
      <c r="A142" s="3">
        <f t="shared" si="11"/>
        <v>44743</v>
      </c>
      <c r="B142" s="4">
        <v>44773</v>
      </c>
      <c r="C142" s="13">
        <v>44743</v>
      </c>
      <c r="D142" s="14">
        <v>14.525597004471001</v>
      </c>
      <c r="E142" s="14">
        <v>4.9000000000000004</v>
      </c>
      <c r="F142" s="17">
        <v>6.7</v>
      </c>
    </row>
    <row r="143" spans="1:6" s="1" customFormat="1" ht="17.5" customHeight="1" x14ac:dyDescent="0.25">
      <c r="A143" s="3">
        <f t="shared" si="11"/>
        <v>44774</v>
      </c>
      <c r="B143" s="4">
        <v>44804</v>
      </c>
      <c r="C143" s="13">
        <v>44774</v>
      </c>
      <c r="D143" s="15">
        <v>15.490349841421001</v>
      </c>
      <c r="E143" s="15">
        <v>5.4</v>
      </c>
      <c r="F143" s="12">
        <v>6.9980000000000002</v>
      </c>
    </row>
    <row r="144" spans="1:6" s="1" customFormat="1" ht="17.5" customHeight="1" x14ac:dyDescent="0.25">
      <c r="A144" s="3">
        <f t="shared" si="11"/>
        <v>44805</v>
      </c>
      <c r="B144" s="4">
        <v>44834</v>
      </c>
      <c r="C144" s="13">
        <v>44805</v>
      </c>
      <c r="D144" s="14">
        <v>20.149239471516001</v>
      </c>
      <c r="E144" s="14">
        <v>5.9</v>
      </c>
      <c r="F144" s="17">
        <v>7.4139999999999997</v>
      </c>
    </row>
    <row r="145" spans="1:6" s="1" customFormat="1" ht="14.9" customHeight="1" x14ac:dyDescent="0.25">
      <c r="A145" s="3">
        <f t="shared" si="11"/>
        <v>44835</v>
      </c>
      <c r="B145" s="4">
        <v>44865</v>
      </c>
      <c r="C145" s="13">
        <v>44835</v>
      </c>
      <c r="D145" s="15">
        <v>17.019691120000001</v>
      </c>
      <c r="E145" s="15">
        <v>5.9</v>
      </c>
      <c r="F145" s="12">
        <v>6.7670000000000003</v>
      </c>
    </row>
    <row r="146" spans="1:6" s="1" customFormat="1" ht="17.5" customHeight="1" x14ac:dyDescent="0.25">
      <c r="A146" s="3">
        <f t="shared" si="11"/>
        <v>44866</v>
      </c>
      <c r="B146" s="4">
        <v>44895</v>
      </c>
      <c r="C146" s="13">
        <v>44866</v>
      </c>
      <c r="D146" s="14">
        <v>17.26329076</v>
      </c>
      <c r="E146" s="14">
        <v>5.9</v>
      </c>
      <c r="F146" s="17">
        <v>5.8789999999999996</v>
      </c>
    </row>
    <row r="147" spans="1:6" s="1" customFormat="1" ht="17.5" customHeight="1" x14ac:dyDescent="0.25">
      <c r="A147" s="3">
        <f t="shared" si="11"/>
        <v>44896</v>
      </c>
      <c r="B147" s="4">
        <v>44926</v>
      </c>
      <c r="C147" s="13">
        <v>44896</v>
      </c>
      <c r="D147" s="15">
        <v>14.891667440000001</v>
      </c>
      <c r="E147" s="15">
        <v>6.25</v>
      </c>
      <c r="F147" s="12">
        <v>5.7160000000000002</v>
      </c>
    </row>
    <row r="148" spans="1:6" s="1" customFormat="1" ht="17.5" customHeight="1" x14ac:dyDescent="0.25">
      <c r="A148" s="3">
        <f t="shared" ref="A148:A159" si="12">DATE(2023, MONTH(B148), 1)</f>
        <v>44927</v>
      </c>
      <c r="B148" s="4">
        <v>44957</v>
      </c>
      <c r="C148" s="13">
        <v>44927</v>
      </c>
      <c r="D148" s="14">
        <v>16.292293399999998</v>
      </c>
      <c r="E148" s="14">
        <v>6.25</v>
      </c>
      <c r="F148" s="17">
        <v>6.5179999999999998</v>
      </c>
    </row>
    <row r="149" spans="1:6" s="1" customFormat="1" ht="17.5" customHeight="1" x14ac:dyDescent="0.25">
      <c r="A149" s="3">
        <f t="shared" si="12"/>
        <v>44958</v>
      </c>
      <c r="B149" s="4">
        <v>44985</v>
      </c>
      <c r="C149" s="13">
        <v>44958</v>
      </c>
      <c r="D149" s="15">
        <v>15.51525056</v>
      </c>
      <c r="E149" s="15">
        <v>6.5</v>
      </c>
      <c r="F149" s="12">
        <v>6.4420000000000002</v>
      </c>
    </row>
    <row r="150" spans="1:6" s="1" customFormat="1" ht="17.5" customHeight="1" x14ac:dyDescent="0.25">
      <c r="A150" s="3">
        <f t="shared" si="12"/>
        <v>44986</v>
      </c>
      <c r="B150" s="4">
        <v>45016</v>
      </c>
      <c r="C150" s="13">
        <v>44986</v>
      </c>
      <c r="D150" s="14">
        <v>15.001883019999999</v>
      </c>
      <c r="E150" s="14">
        <v>6.5</v>
      </c>
      <c r="F150" s="17">
        <v>5.6648777579010003</v>
      </c>
    </row>
    <row r="151" spans="1:6" s="1" customFormat="1" ht="17.5" customHeight="1" x14ac:dyDescent="0.25">
      <c r="A151" s="3">
        <f t="shared" si="12"/>
        <v>45017</v>
      </c>
      <c r="B151" s="4">
        <v>45046</v>
      </c>
      <c r="C151" s="13">
        <v>45017</v>
      </c>
      <c r="D151" s="15">
        <v>15.65</v>
      </c>
      <c r="E151" s="15">
        <v>6.5</v>
      </c>
      <c r="F151" s="12">
        <v>4.703115814227</v>
      </c>
    </row>
    <row r="152" spans="1:6" s="1" customFormat="1" ht="17.5" customHeight="1" x14ac:dyDescent="0.25">
      <c r="A152" s="3">
        <f t="shared" si="12"/>
        <v>45047</v>
      </c>
      <c r="B152" s="4">
        <v>45077</v>
      </c>
      <c r="C152" s="13">
        <v>45047</v>
      </c>
      <c r="D152" s="14">
        <v>15.25126515</v>
      </c>
      <c r="E152" s="14">
        <v>6.5</v>
      </c>
      <c r="F152" s="17">
        <v>4.3</v>
      </c>
    </row>
    <row r="153" spans="1:6" s="1" customFormat="1" ht="17.5" customHeight="1" x14ac:dyDescent="0.25">
      <c r="A153" s="3">
        <f t="shared" si="12"/>
        <v>45078</v>
      </c>
      <c r="B153" s="4">
        <v>45107</v>
      </c>
      <c r="C153" s="13">
        <v>45078</v>
      </c>
      <c r="D153" s="15">
        <v>16.15892925</v>
      </c>
      <c r="E153" s="15">
        <v>6.5</v>
      </c>
      <c r="F153" s="12">
        <v>4.8667439165699999</v>
      </c>
    </row>
    <row r="154" spans="1:6" s="1" customFormat="1" ht="17.5" customHeight="1" x14ac:dyDescent="0.25">
      <c r="A154" s="3">
        <f t="shared" si="12"/>
        <v>45108</v>
      </c>
      <c r="B154" s="4">
        <v>45138</v>
      </c>
      <c r="C154" s="13">
        <v>45108</v>
      </c>
      <c r="D154" s="14">
        <v>19.55</v>
      </c>
      <c r="E154" s="14">
        <v>6.5</v>
      </c>
      <c r="F154" s="17">
        <v>7.4394463667819997</v>
      </c>
    </row>
    <row r="155" spans="1:6" s="1" customFormat="1" ht="17.5" customHeight="1" x14ac:dyDescent="0.25">
      <c r="A155" s="3">
        <f t="shared" si="12"/>
        <v>45139</v>
      </c>
      <c r="B155" s="4">
        <v>45169</v>
      </c>
      <c r="C155" s="13">
        <v>45139</v>
      </c>
      <c r="D155" s="15">
        <v>19.734498670000001</v>
      </c>
      <c r="E155" s="15">
        <v>6.5</v>
      </c>
      <c r="F155" s="12">
        <v>6.8273089999999996</v>
      </c>
    </row>
    <row r="156" spans="1:6" s="1" customFormat="1" ht="17.5" customHeight="1" x14ac:dyDescent="0.25">
      <c r="A156" s="3">
        <f t="shared" si="12"/>
        <v>45170</v>
      </c>
      <c r="B156" s="4">
        <v>45199</v>
      </c>
      <c r="C156" s="13">
        <v>45170</v>
      </c>
      <c r="D156" s="14">
        <v>17.580598537237002</v>
      </c>
      <c r="E156" s="14">
        <v>6.5</v>
      </c>
      <c r="F156" s="17">
        <v>5.0199657729610001</v>
      </c>
    </row>
    <row r="157" spans="1:6" s="1" customFormat="1" ht="14.9" customHeight="1" x14ac:dyDescent="0.25">
      <c r="A157" s="3">
        <f t="shared" si="12"/>
        <v>45200</v>
      </c>
      <c r="B157" s="4">
        <v>45230</v>
      </c>
      <c r="C157" s="13">
        <v>45200</v>
      </c>
      <c r="D157" s="15">
        <v>20.394177939999999</v>
      </c>
      <c r="E157" s="15">
        <v>6.5</v>
      </c>
      <c r="F157" s="12">
        <v>4.867006225241</v>
      </c>
    </row>
    <row r="158" spans="1:6" s="1" customFormat="1" ht="17.5" customHeight="1" x14ac:dyDescent="0.25">
      <c r="A158" s="3">
        <f t="shared" si="12"/>
        <v>45231</v>
      </c>
      <c r="B158" s="4">
        <v>45260</v>
      </c>
      <c r="C158" s="13">
        <v>45231</v>
      </c>
      <c r="D158" s="14">
        <v>21.1</v>
      </c>
      <c r="E158" s="14">
        <v>6.5</v>
      </c>
      <c r="F158" s="17">
        <v>5.5524079320109996</v>
      </c>
    </row>
    <row r="159" spans="1:6" s="1" customFormat="1" ht="17.5" customHeight="1" x14ac:dyDescent="0.25">
      <c r="A159" s="3">
        <f t="shared" si="12"/>
        <v>45261</v>
      </c>
      <c r="B159" s="4">
        <v>45291</v>
      </c>
      <c r="C159" s="13">
        <v>45261</v>
      </c>
      <c r="D159" s="15">
        <v>20</v>
      </c>
      <c r="E159" s="15">
        <v>6.5</v>
      </c>
      <c r="F159" s="12">
        <v>5.6915196359999998</v>
      </c>
    </row>
    <row r="160" spans="1:6" s="1" customFormat="1" ht="17.5" customHeight="1" x14ac:dyDescent="0.25">
      <c r="A160" s="3">
        <f t="shared" ref="A160:A171" si="13">DATE(2024, MONTH(B160), 1)</f>
        <v>45292</v>
      </c>
      <c r="B160" s="4">
        <v>45322</v>
      </c>
      <c r="C160" s="13">
        <v>45292</v>
      </c>
      <c r="D160" s="14">
        <v>20.3</v>
      </c>
      <c r="E160" s="14">
        <v>6.5</v>
      </c>
      <c r="F160" s="17">
        <v>5.0991501420000001</v>
      </c>
    </row>
    <row r="161" spans="1:6" s="1" customFormat="1" ht="17.5" customHeight="1" x14ac:dyDescent="0.25">
      <c r="A161" s="3">
        <f t="shared" si="13"/>
        <v>45323</v>
      </c>
      <c r="B161" s="4">
        <v>45351</v>
      </c>
      <c r="C161" s="13">
        <v>45323</v>
      </c>
      <c r="D161" s="15">
        <v>20.5</v>
      </c>
      <c r="E161" s="15">
        <v>6.5</v>
      </c>
      <c r="F161" s="12">
        <v>5.0904977379999998</v>
      </c>
    </row>
    <row r="162" spans="1:6" s="1" customFormat="1" ht="17.5" customHeight="1" x14ac:dyDescent="0.25">
      <c r="A162" s="3">
        <f t="shared" si="13"/>
        <v>45352</v>
      </c>
      <c r="B162" s="4">
        <v>45382</v>
      </c>
      <c r="C162" s="13">
        <v>45352</v>
      </c>
      <c r="D162" s="14">
        <v>20.160008470000001</v>
      </c>
      <c r="E162" s="14">
        <v>6.5</v>
      </c>
      <c r="F162" s="17">
        <v>4.8532731376980003</v>
      </c>
    </row>
    <row r="163" spans="1:6" s="1" customFormat="1" ht="17.5" customHeight="1" x14ac:dyDescent="0.25">
      <c r="A163" s="3">
        <f t="shared" si="13"/>
        <v>45383</v>
      </c>
      <c r="B163" s="4">
        <v>45412</v>
      </c>
      <c r="C163" s="13">
        <v>45383</v>
      </c>
      <c r="D163" s="15">
        <v>19.21</v>
      </c>
      <c r="E163" s="15">
        <v>6.5</v>
      </c>
      <c r="F163" s="12">
        <v>4.8287478940000002</v>
      </c>
    </row>
    <row r="164" spans="1:6" s="1" customFormat="1" ht="17.5" customHeight="1" x14ac:dyDescent="0.25">
      <c r="A164" s="3">
        <f t="shared" si="13"/>
        <v>45413</v>
      </c>
      <c r="B164" s="4">
        <v>45443</v>
      </c>
      <c r="C164" s="13">
        <v>45413</v>
      </c>
      <c r="D164" s="14">
        <v>19.794768179999998</v>
      </c>
      <c r="E164" s="14">
        <v>6.5</v>
      </c>
      <c r="F164" s="17">
        <v>4.8017867110000001</v>
      </c>
    </row>
    <row r="165" spans="1:6" s="1" customFormat="1" ht="17.5" customHeight="1" x14ac:dyDescent="0.25">
      <c r="A165" s="3">
        <f t="shared" si="13"/>
        <v>45444</v>
      </c>
      <c r="B165" s="4">
        <v>45473</v>
      </c>
      <c r="C165" s="13">
        <v>45444</v>
      </c>
      <c r="D165" s="15">
        <v>17.399999999999999</v>
      </c>
      <c r="E165" s="15">
        <v>6.5</v>
      </c>
      <c r="F165" s="12">
        <v>5.0828730000000002</v>
      </c>
    </row>
    <row r="166" spans="1:6" s="1" customFormat="1" ht="17.5" customHeight="1" x14ac:dyDescent="0.25">
      <c r="A166" s="3">
        <f t="shared" si="13"/>
        <v>45474</v>
      </c>
      <c r="B166" s="4">
        <v>45504</v>
      </c>
      <c r="C166" s="13">
        <v>45474</v>
      </c>
      <c r="D166" s="14">
        <v>13.7065968</v>
      </c>
      <c r="E166" s="14">
        <v>6.5</v>
      </c>
      <c r="F166" s="17">
        <v>3.5963500000000002</v>
      </c>
    </row>
    <row r="167" spans="1:6" s="1" customFormat="1" ht="17.5" customHeight="1" x14ac:dyDescent="0.25">
      <c r="A167" s="3">
        <f t="shared" si="13"/>
        <v>45505</v>
      </c>
      <c r="B167" s="4">
        <v>45535</v>
      </c>
      <c r="C167" s="13">
        <v>45505</v>
      </c>
      <c r="D167" s="15">
        <v>13.10878327</v>
      </c>
      <c r="E167" s="15">
        <v>6.5</v>
      </c>
      <c r="F167" s="12">
        <v>3.6519870000000001</v>
      </c>
    </row>
    <row r="168" spans="1:6" s="1" customFormat="1" ht="17.5" customHeight="1" x14ac:dyDescent="0.25">
      <c r="A168" s="3">
        <f t="shared" si="13"/>
        <v>45536</v>
      </c>
      <c r="B168" s="4">
        <v>45565</v>
      </c>
      <c r="C168" s="13">
        <v>45536</v>
      </c>
      <c r="D168" s="14">
        <v>12.344796580000001</v>
      </c>
      <c r="E168" s="14">
        <v>6.5</v>
      </c>
      <c r="F168" s="17">
        <v>5.4861488319999996</v>
      </c>
    </row>
    <row r="169" spans="1:6" s="1" customFormat="1" ht="14.9" customHeight="1" x14ac:dyDescent="0.25">
      <c r="A169" s="3">
        <f t="shared" si="13"/>
        <v>45566</v>
      </c>
      <c r="B169" s="4">
        <v>45596</v>
      </c>
      <c r="C169" s="13">
        <v>45566</v>
      </c>
      <c r="D169" s="15">
        <v>11.800082</v>
      </c>
      <c r="E169" s="15">
        <v>6.5</v>
      </c>
      <c r="F169" s="12">
        <v>6.2061521859999997</v>
      </c>
    </row>
    <row r="170" spans="1:6" s="1" customFormat="1" ht="17.5" customHeight="1" x14ac:dyDescent="0.25">
      <c r="A170" s="3">
        <f t="shared" si="13"/>
        <v>45597</v>
      </c>
      <c r="B170" s="4">
        <v>45626</v>
      </c>
      <c r="C170" s="13">
        <v>45597</v>
      </c>
      <c r="D170" s="14">
        <v>10.6</v>
      </c>
      <c r="E170" s="14">
        <v>6.5</v>
      </c>
      <c r="F170" s="17">
        <v>5.4750402579999999</v>
      </c>
    </row>
    <row r="171" spans="1:6" s="1" customFormat="1" ht="17.5" customHeight="1" x14ac:dyDescent="0.25">
      <c r="A171" s="3">
        <f t="shared" si="13"/>
        <v>45627</v>
      </c>
      <c r="B171" s="4">
        <v>45657</v>
      </c>
      <c r="C171" s="13">
        <v>45627</v>
      </c>
      <c r="D171" s="15">
        <v>11.2</v>
      </c>
      <c r="E171" s="15">
        <v>6.5</v>
      </c>
      <c r="F171" s="12">
        <v>5.2234790000000002</v>
      </c>
    </row>
    <row r="172" spans="1:6" s="1" customFormat="1" ht="17.5" customHeight="1" x14ac:dyDescent="0.25">
      <c r="A172" s="3">
        <f t="shared" ref="A172:A181" si="14">DATE(2025, MONTH(B172), 1)</f>
        <v>45658</v>
      </c>
      <c r="B172" s="4">
        <v>45688</v>
      </c>
      <c r="C172" s="13">
        <v>45658</v>
      </c>
      <c r="D172" s="14">
        <v>11.8</v>
      </c>
      <c r="E172" s="14">
        <v>6.5</v>
      </c>
      <c r="F172" s="17">
        <v>4.2587601079999997</v>
      </c>
    </row>
    <row r="173" spans="1:6" s="1" customFormat="1" ht="17.5" customHeight="1" x14ac:dyDescent="0.25">
      <c r="A173" s="3">
        <f t="shared" si="14"/>
        <v>45689</v>
      </c>
      <c r="B173" s="4">
        <v>45716</v>
      </c>
      <c r="C173" s="13">
        <v>45689</v>
      </c>
      <c r="D173" s="15">
        <v>11.576963080000001</v>
      </c>
      <c r="E173" s="15">
        <v>6.25</v>
      </c>
      <c r="F173" s="12">
        <v>3.6060279999999998</v>
      </c>
    </row>
    <row r="174" spans="1:6" s="1" customFormat="1" ht="17.5" customHeight="1" x14ac:dyDescent="0.25">
      <c r="A174" s="3">
        <f t="shared" si="14"/>
        <v>45717</v>
      </c>
      <c r="B174" s="4">
        <v>45747</v>
      </c>
      <c r="C174" s="13">
        <v>45717</v>
      </c>
      <c r="D174" s="14">
        <v>11.025988</v>
      </c>
      <c r="E174" s="14">
        <v>6.25</v>
      </c>
      <c r="F174" s="17">
        <v>3.336921421</v>
      </c>
    </row>
    <row r="175" spans="1:6" s="1" customFormat="1" ht="17.5" customHeight="1" x14ac:dyDescent="0.25">
      <c r="A175" s="3">
        <f t="shared" si="14"/>
        <v>45748</v>
      </c>
      <c r="B175" s="4">
        <v>45777</v>
      </c>
      <c r="C175" s="13">
        <v>45748</v>
      </c>
      <c r="D175" s="15">
        <v>10.09009446</v>
      </c>
      <c r="E175" s="15">
        <v>6</v>
      </c>
      <c r="F175" s="12">
        <v>3.1601499729999998</v>
      </c>
    </row>
    <row r="176" spans="1:6" s="1" customFormat="1" ht="17.5" customHeight="1" x14ac:dyDescent="0.25">
      <c r="A176" s="3">
        <f t="shared" si="14"/>
        <v>45778</v>
      </c>
      <c r="B176" s="4">
        <v>45808</v>
      </c>
      <c r="C176" s="13">
        <v>45778</v>
      </c>
      <c r="D176" s="14">
        <v>8.9644633220000003</v>
      </c>
      <c r="E176" s="14">
        <v>6</v>
      </c>
      <c r="F176" s="17">
        <v>2.823655</v>
      </c>
    </row>
    <row r="177" spans="1:6" s="1" customFormat="1" ht="17.5" customHeight="1" x14ac:dyDescent="0.25">
      <c r="A177" s="3">
        <f t="shared" si="14"/>
        <v>45809</v>
      </c>
      <c r="B177" s="4">
        <v>45838</v>
      </c>
      <c r="C177" s="13">
        <v>45809</v>
      </c>
      <c r="D177" s="15">
        <v>9.4763020220000005</v>
      </c>
      <c r="E177" s="15">
        <v>5.5</v>
      </c>
      <c r="F177" s="12">
        <v>2.1030489999999999</v>
      </c>
    </row>
    <row r="178" spans="1:6" s="1" customFormat="1" ht="17.5" customHeight="1" x14ac:dyDescent="0.25">
      <c r="A178" s="3">
        <f t="shared" si="14"/>
        <v>45839</v>
      </c>
      <c r="B178" s="4">
        <v>45869</v>
      </c>
      <c r="C178" s="13">
        <v>45839</v>
      </c>
      <c r="D178" s="14">
        <v>10.035975779999999</v>
      </c>
      <c r="E178" s="14">
        <v>5.5</v>
      </c>
      <c r="F178" s="17">
        <v>1.6062179999999999</v>
      </c>
    </row>
    <row r="179" spans="1:6" s="1" customFormat="1" ht="17.5" customHeight="1" x14ac:dyDescent="0.25">
      <c r="A179" s="3">
        <f t="shared" si="14"/>
        <v>45870</v>
      </c>
      <c r="B179" s="4">
        <v>45900</v>
      </c>
      <c r="C179" s="13">
        <v>45870</v>
      </c>
      <c r="D179" s="15">
        <v>10.119986089999999</v>
      </c>
      <c r="E179" s="15">
        <v>5.5</v>
      </c>
      <c r="F179" s="12">
        <v>2.0725389999999999</v>
      </c>
    </row>
    <row r="180" spans="1:6" s="1" customFormat="1" ht="17.5" customHeight="1" x14ac:dyDescent="0.25">
      <c r="A180" s="3">
        <f t="shared" si="14"/>
        <v>45901</v>
      </c>
      <c r="B180" s="4">
        <v>45930</v>
      </c>
      <c r="C180" s="13">
        <v>45901</v>
      </c>
      <c r="D180" s="14">
        <v>10.78644019</v>
      </c>
      <c r="E180" s="14">
        <v>5.5</v>
      </c>
      <c r="F180" s="17">
        <v>1.441813</v>
      </c>
    </row>
    <row r="181" spans="1:6" s="1" customFormat="1" ht="25.5" customHeight="1" x14ac:dyDescent="0.25">
      <c r="A181" s="5">
        <f t="shared" si="14"/>
        <v>45931</v>
      </c>
      <c r="B181" s="6">
        <v>45961</v>
      </c>
      <c r="C181" s="13">
        <v>45931</v>
      </c>
      <c r="D181" s="16">
        <v>11.332815999999999</v>
      </c>
      <c r="E181" s="16">
        <v>5.5</v>
      </c>
      <c r="F181" s="18">
        <v>0.25406499999999999</v>
      </c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singh</dc:creator>
  <cp:lastModifiedBy>uday singh</cp:lastModifiedBy>
  <dcterms:created xsi:type="dcterms:W3CDTF">2026-01-10T16:53:50Z</dcterms:created>
  <dcterms:modified xsi:type="dcterms:W3CDTF">2026-03-06T13:45:22Z</dcterms:modified>
</cp:coreProperties>
</file>