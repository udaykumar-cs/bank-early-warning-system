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days\Downloads\"/>
    </mc:Choice>
  </mc:AlternateContent>
  <xr:revisionPtr revIDLastSave="0" documentId="13_ncr:1_{106BB28A-8F54-49BF-B2D6-AFF0FC538A3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Repor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781" i="1" l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780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695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13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53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454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373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292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05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11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026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935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842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748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655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561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374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281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188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94" i="1"/>
  <c r="A88" i="1"/>
  <c r="A89" i="1"/>
  <c r="A90" i="1"/>
  <c r="A91" i="1"/>
  <c r="A92" i="1"/>
  <c r="A93" i="1"/>
  <c r="A76" i="1"/>
  <c r="A77" i="1"/>
  <c r="A78" i="1"/>
  <c r="A79" i="1"/>
  <c r="A80" i="1"/>
  <c r="A81" i="1"/>
  <c r="A82" i="1"/>
  <c r="A83" i="1"/>
  <c r="A84" i="1"/>
  <c r="A85" i="1"/>
  <c r="A86" i="1"/>
  <c r="A87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51" i="1"/>
  <c r="A52" i="1"/>
  <c r="A53" i="1"/>
  <c r="A54" i="1"/>
  <c r="A55" i="1"/>
  <c r="A56" i="1"/>
  <c r="A57" i="1"/>
  <c r="A58" i="1"/>
  <c r="A59" i="1"/>
  <c r="A60" i="1"/>
  <c r="A61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17" i="1"/>
  <c r="A18" i="1"/>
  <c r="A19" i="1"/>
  <c r="A20" i="1"/>
  <c r="A21" i="1"/>
  <c r="A22" i="1"/>
  <c r="A9" i="1"/>
  <c r="A10" i="1"/>
  <c r="A11" i="1"/>
  <c r="A12" i="1"/>
  <c r="A13" i="1"/>
  <c r="A14" i="1"/>
  <c r="A15" i="1"/>
  <c r="A16" i="1"/>
  <c r="A3" i="1"/>
  <c r="A4" i="1"/>
  <c r="A5" i="1"/>
  <c r="A6" i="1"/>
  <c r="A7" i="1"/>
  <c r="A8" i="1"/>
  <c r="A2" i="1"/>
</calcChain>
</file>

<file path=xl/sharedStrings.xml><?xml version="1.0" encoding="utf-8"?>
<sst xmlns="http://schemas.openxmlformats.org/spreadsheetml/2006/main" count="1876" uniqueCount="143">
  <si>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</si>
  <si>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</si>
  <si>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</si>
  <si>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</si>
  <si>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</si>
  <si>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</si>
  <si>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</si>
  <si>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</si>
  <si>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</si>
  <si>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</si>
  <si>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</si>
  <si>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</si>
  <si>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LIMITED</t>
  </si>
  <si>
    <t>BANDHAN BANK LIMITED</t>
  </si>
  <si>
    <t>CITY UNION BANK LIMITED</t>
  </si>
  <si>
    <t>CSB BANK LIMITED</t>
  </si>
  <si>
    <t>DCB BANK LIMITED</t>
  </si>
  <si>
    <t>DHANLAXMI BANK LIMITED</t>
  </si>
  <si>
    <t>FEDERAL BANK LTD</t>
  </si>
  <si>
    <t>HDFC BANK LTD.</t>
  </si>
  <si>
    <t>ICICI BANK LIMITED</t>
  </si>
  <si>
    <t>IDBI BANK LIMITED</t>
  </si>
  <si>
    <t>IDFC FIRST BANK LIMITED</t>
  </si>
  <si>
    <t>INDUSIND BANK LTD</t>
  </si>
  <si>
    <t>JAMMU &amp; KASHMIR BANK LTD</t>
  </si>
  <si>
    <t>KARNATAKA BANK LTD</t>
  </si>
  <si>
    <t>KARUR VYSYA BANK LTD</t>
  </si>
  <si>
    <t>KOTAK MAHINDRA BANK LTD.</t>
  </si>
  <si>
    <t>NAINITAL BANK LTD</t>
  </si>
  <si>
    <t>RBL BANK LTD</t>
  </si>
  <si>
    <t>SOUTH INDIAN BANK LTD</t>
  </si>
  <si>
    <t>TAMILNAD MERCANTILE BANK LTD</t>
  </si>
  <si>
    <t>YES BANK LTD.</t>
  </si>
  <si>
    <t>AB BANK PLC</t>
  </si>
  <si>
    <t>AMERICAN EXPRESS BANKING CORP.</t>
  </si>
  <si>
    <t>AUSTRALIA AND NEW ZEALAND BANKING GROUP LIMITED</t>
  </si>
  <si>
    <t>BANK OF AMERICA , NATIONAL ASSOCIATION</t>
  </si>
  <si>
    <t>BANK OF BAHRAIN &amp; KUWAIT B.S.C.</t>
  </si>
  <si>
    <t>BANK OF CEYLON</t>
  </si>
  <si>
    <t>BANK OF CHINA LIMITED</t>
  </si>
  <si>
    <t>BANK OF NOVA SCOTIA</t>
  </si>
  <si>
    <t>BARCLAYS BANK PLC</t>
  </si>
  <si>
    <t>BNP PARIBAS</t>
  </si>
  <si>
    <t>CITIBANK N.A</t>
  </si>
  <si>
    <t>COOPERATIEVE RABOBANK U.A.</t>
  </si>
  <si>
    <t>CREDIT AGRICOLE CORPORATE AND INVESTMENT BANK</t>
  </si>
  <si>
    <t>CTBC BANK CO., LTD.</t>
  </si>
  <si>
    <t>DBS BANK INDIA LIMITED</t>
  </si>
  <si>
    <t>DEUTSCHE BANK AG</t>
  </si>
  <si>
    <t>DOHA BANK Q.P.S.C.</t>
  </si>
  <si>
    <t>EMIRATES NBD BANK (P.J.S.C.)</t>
  </si>
  <si>
    <t>FIRST ABU DHABI BANK PJSC</t>
  </si>
  <si>
    <t>FIRSTRAND BANK LTD</t>
  </si>
  <si>
    <t>INDUSTRIAL AND COMMERCIAL BANK OF CHINA</t>
  </si>
  <si>
    <t>INDUSTRIAL BANK OF KOREA</t>
  </si>
  <si>
    <t>JPMORGAN CHASE BANK NATIONAL ASSOCIATION</t>
  </si>
  <si>
    <t>JSC VTB BANK</t>
  </si>
  <si>
    <t>KEB HANA BANK</t>
  </si>
  <si>
    <t>KOOKMIN BANK</t>
  </si>
  <si>
    <t>MASHREQ BANK PSC</t>
  </si>
  <si>
    <t>MIZUHO BANK LTD</t>
  </si>
  <si>
    <t>MUFG BANK, LTD.</t>
  </si>
  <si>
    <t>NATWEST MARKETS PLC</t>
  </si>
  <si>
    <t>NONGHYUP BANK</t>
  </si>
  <si>
    <t>PT BANK MAYBANK INDONESIA TBK</t>
  </si>
  <si>
    <t>QATAR NATIONAL BANK (Q.P.S.C)</t>
  </si>
  <si>
    <t>SBERBANK</t>
  </si>
  <si>
    <t>SBM BANK (INDIA) LIMITED</t>
  </si>
  <si>
    <t>SHINHAN BANK</t>
  </si>
  <si>
    <t>SOCIETE GENERALE</t>
  </si>
  <si>
    <t>SONALI BANK PLC</t>
  </si>
  <si>
    <t>STANDARD CHARTERED BANK</t>
  </si>
  <si>
    <t>SUMITOMO MITSUI BANKING CORPORATION</t>
  </si>
  <si>
    <t>THE HONGKONG AND SHANGHAI BANKING CORPORATION LIMITED</t>
  </si>
  <si>
    <t>UBS AG</t>
  </si>
  <si>
    <t>UNITED OVERSEAS BANK LTD</t>
  </si>
  <si>
    <t>WOORI BANK</t>
  </si>
  <si>
    <t>-</t>
  </si>
  <si>
    <t>AU SMALL FINANCE BANK LIMITED</t>
  </si>
  <si>
    <t>CAPITAL SMALL FINANCE BANK LIMITED</t>
  </si>
  <si>
    <t>EQUITAS SMALL FINANCE BANK LIMITED</t>
  </si>
  <si>
    <t>ESAF SMALL FINANCE BANK LIMITED</t>
  </si>
  <si>
    <t>JANA SMALL FINANCE BANK LIMITED</t>
  </si>
  <si>
    <t>NORTH EAST SMALL FINANCE BANK LIMITED</t>
  </si>
  <si>
    <t>SHIVALIK SMALL FINANCE BANK LIMITED</t>
  </si>
  <si>
    <t>SURYODAY SMALL FINANCE BANK LIMITED</t>
  </si>
  <si>
    <t>UJJIVAN SMALL FINANCE BANK LIMITED</t>
  </si>
  <si>
    <t>UNITY SMALL FINANCE BANK LIMITED</t>
  </si>
  <si>
    <t>UTKARSH SMALL FINANCE BANK LIMITED</t>
  </si>
  <si>
    <t>AIRTEL PAYMENTS BANK LIMITED</t>
  </si>
  <si>
    <t>FINO PAYMENTS BANK LIMITED</t>
  </si>
  <si>
    <t>INDIA POST PAYMENTS BANK LIMITED</t>
  </si>
  <si>
    <t>PAYTM PAYMENTS BANK LIMITED</t>
  </si>
  <si>
    <t>AB BANK LIMITED</t>
  </si>
  <si>
    <t>CREDIT SUISSE AG</t>
  </si>
  <si>
    <t>KRUNG THAI BANK PUBLIC COMPANY LIMITED</t>
  </si>
  <si>
    <t>SONALI BANK</t>
  </si>
  <si>
    <t>FINCARE SMALL FINANCE BANK LIMITED</t>
  </si>
  <si>
    <t>ABU DHABI COMMERCIAL BANK PJSC</t>
  </si>
  <si>
    <t>HONGKONG AND SHANGHAI BANKING CORPN.LTD.</t>
  </si>
  <si>
    <t>THE ROYAL BANK OF SCOTLAND N.V.</t>
  </si>
  <si>
    <t>ALLAHABAD BANK</t>
  </si>
  <si>
    <t>ANDHRA BANK</t>
  </si>
  <si>
    <t>CORPORATION BANK</t>
  </si>
  <si>
    <t>ORIENTAL BANK OF COMMERCE</t>
  </si>
  <si>
    <t>SYNDICATE BANK</t>
  </si>
  <si>
    <t>UNITED BANK OF INDIA</t>
  </si>
  <si>
    <t>LAKSHMI VILAS BANK LTD</t>
  </si>
  <si>
    <t>WESTPAC BANKING CORPORATION</t>
  </si>
  <si>
    <t>DENA BANK</t>
  </si>
  <si>
    <t>VIJAYA BANK</t>
  </si>
  <si>
    <t>NATIONAL AUSTRALIA BANK</t>
  </si>
  <si>
    <t>IDFC BANK LIMITED</t>
  </si>
  <si>
    <t>STATE BANK OF BIKANER AND JAIPUR</t>
  </si>
  <si>
    <t>STATE BANK OF HYDERABAD</t>
  </si>
  <si>
    <t>STATE BANK OF MYSORE</t>
  </si>
  <si>
    <t>STATE BANK OF PATIALA</t>
  </si>
  <si>
    <t>STATE BANK OF TRAVANCORE</t>
  </si>
  <si>
    <t>BHARATIYA MAHILA BANK LTD.</t>
  </si>
  <si>
    <t>COMMONWEALTH BANK OF AUSTRALIA</t>
  </si>
  <si>
    <t>KBC BANK NV</t>
  </si>
  <si>
    <t>ING VYSYA BANK LTD</t>
  </si>
  <si>
    <t>HSBC BANK OMAN S.A.O.G.</t>
  </si>
  <si>
    <t>KBC BANK N.V.</t>
  </si>
  <si>
    <t>SBI COMMERCIAL &amp; INTERNATIONAL BANK LTD</t>
  </si>
  <si>
    <t>STATE BANK OF INDORE</t>
  </si>
  <si>
    <t>BANK OF RAJASTHAN LTD</t>
  </si>
  <si>
    <t>THE ROYAL BANK OF SCOTLAND PLC</t>
  </si>
  <si>
    <t>STATE BANK OF SAURASHTRA</t>
  </si>
  <si>
    <t>IDBI LIMITED</t>
  </si>
  <si>
    <t>CENTURION BANK OF PUNJAB LTD.</t>
  </si>
  <si>
    <t>LORD KRISHNA BANK LTD</t>
  </si>
  <si>
    <t>SANGLI BANK LTD</t>
  </si>
  <si>
    <t>AMERICAN EXPRESS BANK LTD</t>
  </si>
  <si>
    <t>BHARAT OVERSEAS BANK LTD</t>
  </si>
  <si>
    <t>GANESH BANK OF KURUNDWAD LTD</t>
  </si>
  <si>
    <t>UNITED WESTERN BANK LTD</t>
  </si>
  <si>
    <t>BANK OF PUNJAB LIMITED</t>
  </si>
  <si>
    <t>ING BANK N.V.</t>
  </si>
  <si>
    <t>UFJ BANK LTD</t>
  </si>
  <si>
    <t>year</t>
  </si>
  <si>
    <t>bank_name</t>
  </si>
  <si>
    <t>total_provisions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</si>
</sst>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0.00"/>
    <numFmt numFmtId="165" formatCode="[$-F800]dddd\,\ mmmm\ dd\,\ yyyy"/>
  </numFmts>
  <fonts count="4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333333"/>
      <name val="Arial"/>
    </font>
    <font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7EB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164" fontId="1" fillId="3" borderId="2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49" fontId="3" fillId="3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right"/>
    </xf>
    <xf numFmtId="1" fontId="2" fillId="3" borderId="1" xfId="0" applyNumberFormat="1" applyFont="1" applyFill="1" applyBorder="1" applyAlignment="1">
      <alignment horizontal="center" vertical="center"/>
    </xf>
    <xf numFmtId="165" fontId="0" fillId="0" borderId="0" xfId="0" applyNumberFormat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67"/>
  <sheetViews>
    <sheetView tabSelected="1" topLeftCell="A242" zoomScale="103" workbookViewId="0">
      <selection activeCell="F249" sqref="F249"/>
    </sheetView>
  </sheetViews>
  <sheetFormatPr defaultRowHeight="12.5" x14ac:dyDescent="0.25"/>
  <cols>
    <col min="1" max="1" width="10.7265625" customWidth="1"/>
    <col min="2" max="2" width="61.453125" customWidth="1"/>
    <col min="3" max="3" width="18.26953125" customWidth="1"/>
  </cols>
  <sheetData>
    <row r="1" spans="1:3" x14ac:dyDescent="0.25">
      <c r="A1" s="8" t="s">
        <v>140</v>
      </c>
      <c r="B1" s="9" t="s">
        <v>141</v>
      </c>
      <c r="C1" s="10" t="s">
        <v>142</v>
      </c>
    </row>
    <row r="2" spans="1:3" s="1" customFormat="1" ht="19.75" customHeight="1" x14ac:dyDescent="0.25">
      <c r="A2" s="7">
        <f>2025</f>
        <v>2025</v>
      </c>
      <c r="B2" s="2" t="s">
        <v>0</v>
      </c>
      <c r="C2" s="3">
        <v>12853.4758</v>
      </c>
    </row>
    <row r="3" spans="1:3" s="1" customFormat="1" ht="19.75" customHeight="1" x14ac:dyDescent="0.25">
      <c r="A3" s="7">
        <f>2025</f>
        <v>2025</v>
      </c>
      <c r="B3" s="2" t="s">
        <v>1</v>
      </c>
      <c r="C3" s="4">
        <v>7193.0897000000004</v>
      </c>
    </row>
    <row r="4" spans="1:3" s="1" customFormat="1" ht="19.75" customHeight="1" x14ac:dyDescent="0.25">
      <c r="A4" s="7">
        <f>2025</f>
        <v>2025</v>
      </c>
      <c r="B4" s="2" t="s">
        <v>2</v>
      </c>
      <c r="C4" s="3">
        <v>3799.2431000000001</v>
      </c>
    </row>
    <row r="5" spans="1:3" s="1" customFormat="1" ht="19.75" customHeight="1" x14ac:dyDescent="0.25">
      <c r="A5" s="7">
        <f>2025</f>
        <v>2025</v>
      </c>
      <c r="B5" s="2" t="s">
        <v>3</v>
      </c>
      <c r="C5" s="4">
        <v>14363.5923</v>
      </c>
    </row>
    <row r="6" spans="1:3" s="1" customFormat="1" ht="19.75" customHeight="1" x14ac:dyDescent="0.25">
      <c r="A6" s="7">
        <f>2025</f>
        <v>2025</v>
      </c>
      <c r="B6" s="2" t="s">
        <v>4</v>
      </c>
      <c r="C6" s="3">
        <v>4339.0546000000004</v>
      </c>
    </row>
    <row r="7" spans="1:3" s="1" customFormat="1" ht="19.75" customHeight="1" x14ac:dyDescent="0.25">
      <c r="A7" s="7">
        <f>2025</f>
        <v>2025</v>
      </c>
      <c r="B7" s="2" t="s">
        <v>5</v>
      </c>
      <c r="C7" s="4">
        <v>8079.9121999999998</v>
      </c>
    </row>
    <row r="8" spans="1:3" s="1" customFormat="1" ht="19.75" customHeight="1" x14ac:dyDescent="0.25">
      <c r="A8" s="7">
        <f>2025</f>
        <v>2025</v>
      </c>
      <c r="B8" s="2" t="s">
        <v>6</v>
      </c>
      <c r="C8" s="3">
        <v>5353.305394</v>
      </c>
    </row>
    <row r="9" spans="1:3" s="1" customFormat="1" ht="19.75" customHeight="1" x14ac:dyDescent="0.25">
      <c r="A9" s="7">
        <f>2025</f>
        <v>2025</v>
      </c>
      <c r="B9" s="2" t="s">
        <v>7</v>
      </c>
      <c r="C9" s="4">
        <v>1059.0913</v>
      </c>
    </row>
    <row r="10" spans="1:3" s="1" customFormat="1" ht="19.75" customHeight="1" x14ac:dyDescent="0.25">
      <c r="A10" s="7">
        <f>2025</f>
        <v>2025</v>
      </c>
      <c r="B10" s="2" t="s">
        <v>8</v>
      </c>
      <c r="C10" s="3">
        <v>10200.4684</v>
      </c>
    </row>
    <row r="11" spans="1:3" s="1" customFormat="1" ht="19.75" customHeight="1" x14ac:dyDescent="0.25">
      <c r="A11" s="7">
        <f>2025</f>
        <v>2025</v>
      </c>
      <c r="B11" s="2" t="s">
        <v>9</v>
      </c>
      <c r="C11" s="4">
        <v>39678.537199999999</v>
      </c>
    </row>
    <row r="12" spans="1:3" s="1" customFormat="1" ht="19.75" customHeight="1" x14ac:dyDescent="0.25">
      <c r="A12" s="7">
        <f>2025</f>
        <v>2025</v>
      </c>
      <c r="B12" s="2" t="s">
        <v>10</v>
      </c>
      <c r="C12" s="3">
        <v>3592.3208</v>
      </c>
    </row>
    <row r="13" spans="1:3" s="1" customFormat="1" ht="19.75" customHeight="1" x14ac:dyDescent="0.25">
      <c r="A13" s="7">
        <f>2025</f>
        <v>2025</v>
      </c>
      <c r="B13" s="2" t="s">
        <v>11</v>
      </c>
      <c r="C13" s="4">
        <v>13102.8963</v>
      </c>
    </row>
    <row r="14" spans="1:3" s="1" customFormat="1" ht="19.75" customHeight="1" x14ac:dyDescent="0.25">
      <c r="A14" s="7">
        <f>2025</f>
        <v>2025</v>
      </c>
      <c r="B14" s="2" t="s">
        <v>12</v>
      </c>
      <c r="C14" s="3">
        <v>15731.4504</v>
      </c>
    </row>
    <row r="15" spans="1:3" s="1" customFormat="1" ht="19.75" customHeight="1" x14ac:dyDescent="0.25">
      <c r="A15" s="7">
        <f>2025</f>
        <v>2025</v>
      </c>
      <c r="B15" s="2" t="s">
        <v>13</v>
      </c>
      <c r="C15" s="4">
        <v>4643.3930280000004</v>
      </c>
    </row>
    <row r="16" spans="1:3" s="1" customFormat="1" ht="19.75" customHeight="1" x14ac:dyDescent="0.25">
      <c r="A16" s="7">
        <f>2025</f>
        <v>2025</v>
      </c>
      <c r="B16" s="2" t="s">
        <v>14</v>
      </c>
      <c r="C16" s="3">
        <v>555</v>
      </c>
    </row>
    <row r="17" spans="1:3" s="1" customFormat="1" ht="19.75" customHeight="1" x14ac:dyDescent="0.25">
      <c r="A17" s="7">
        <f>2025</f>
        <v>2025</v>
      </c>
      <c r="B17" s="2" t="s">
        <v>15</v>
      </c>
      <c r="C17" s="4">
        <v>316.43770000000001</v>
      </c>
    </row>
    <row r="18" spans="1:3" s="1" customFormat="1" ht="19.75" customHeight="1" x14ac:dyDescent="0.25">
      <c r="A18" s="7">
        <f>2025</f>
        <v>2025</v>
      </c>
      <c r="B18" s="2" t="s">
        <v>16</v>
      </c>
      <c r="C18" s="3">
        <v>421.66500000000002</v>
      </c>
    </row>
    <row r="19" spans="1:3" s="1" customFormat="1" ht="19.75" customHeight="1" x14ac:dyDescent="0.25">
      <c r="A19" s="7">
        <f>2025</f>
        <v>2025</v>
      </c>
      <c r="B19" s="2" t="s">
        <v>17</v>
      </c>
      <c r="C19" s="4">
        <v>28.462800000000001</v>
      </c>
    </row>
    <row r="20" spans="1:3" s="1" customFormat="1" ht="19.75" customHeight="1" x14ac:dyDescent="0.25">
      <c r="A20" s="7">
        <f>2025</f>
        <v>2025</v>
      </c>
      <c r="B20" s="2" t="s">
        <v>18</v>
      </c>
      <c r="C20" s="3">
        <v>2049.2465999999999</v>
      </c>
    </row>
    <row r="21" spans="1:3" s="1" customFormat="1" ht="19.75" customHeight="1" x14ac:dyDescent="0.25">
      <c r="A21" s="7">
        <f>2025</f>
        <v>2025</v>
      </c>
      <c r="B21" s="2" t="s">
        <v>19</v>
      </c>
      <c r="C21" s="4">
        <v>32780.130700000002</v>
      </c>
    </row>
    <row r="22" spans="1:3" s="1" customFormat="1" ht="19.75" customHeight="1" x14ac:dyDescent="0.25">
      <c r="A22" s="7">
        <f>2025</f>
        <v>2025</v>
      </c>
      <c r="B22" s="2" t="s">
        <v>20</v>
      </c>
      <c r="C22" s="3">
        <v>20071.823499999999</v>
      </c>
    </row>
    <row r="23" spans="1:3" s="1" customFormat="1" ht="19.75" customHeight="1" x14ac:dyDescent="0.25">
      <c r="A23" s="7">
        <f>2025</f>
        <v>2025</v>
      </c>
      <c r="B23" s="2" t="s">
        <v>21</v>
      </c>
      <c r="C23" s="4">
        <v>3563.4257680000001</v>
      </c>
    </row>
    <row r="24" spans="1:3" s="1" customFormat="1" ht="19.75" customHeight="1" x14ac:dyDescent="0.25">
      <c r="A24" s="7">
        <f>2025</f>
        <v>2025</v>
      </c>
      <c r="B24" s="2" t="s">
        <v>22</v>
      </c>
      <c r="C24" s="3">
        <v>5889.9974300000003</v>
      </c>
    </row>
    <row r="25" spans="1:3" s="1" customFormat="1" ht="19.75" customHeight="1" x14ac:dyDescent="0.25">
      <c r="A25" s="7">
        <f>2025</f>
        <v>2025</v>
      </c>
      <c r="B25" s="2" t="s">
        <v>23</v>
      </c>
      <c r="C25" s="4">
        <v>8001.9575000000004</v>
      </c>
    </row>
    <row r="26" spans="1:3" s="1" customFormat="1" ht="19.75" customHeight="1" x14ac:dyDescent="0.25">
      <c r="A26" s="7">
        <f>2025</f>
        <v>2025</v>
      </c>
      <c r="B26" s="2" t="s">
        <v>24</v>
      </c>
      <c r="C26" s="3">
        <v>847.33040000000005</v>
      </c>
    </row>
    <row r="27" spans="1:3" s="1" customFormat="1" ht="19.75" customHeight="1" x14ac:dyDescent="0.25">
      <c r="A27" s="7">
        <f>2025</f>
        <v>2025</v>
      </c>
      <c r="B27" s="2" t="s">
        <v>25</v>
      </c>
      <c r="C27" s="4">
        <v>554.67110000000002</v>
      </c>
    </row>
    <row r="28" spans="1:3" s="1" customFormat="1" ht="19.75" customHeight="1" x14ac:dyDescent="0.25">
      <c r="A28" s="7">
        <f>2025</f>
        <v>2025</v>
      </c>
      <c r="B28" s="2" t="s">
        <v>26</v>
      </c>
      <c r="C28" s="3">
        <v>1270.6919130000001</v>
      </c>
    </row>
    <row r="29" spans="1:3" s="1" customFormat="1" ht="19.75" customHeight="1" x14ac:dyDescent="0.25">
      <c r="A29" s="7">
        <f>2025</f>
        <v>2025</v>
      </c>
      <c r="B29" s="2" t="s">
        <v>27</v>
      </c>
      <c r="C29" s="4">
        <v>8076.3945000000003</v>
      </c>
    </row>
    <row r="30" spans="1:3" s="1" customFormat="1" ht="19.75" customHeight="1" x14ac:dyDescent="0.25">
      <c r="A30" s="7">
        <f>2025</f>
        <v>2025</v>
      </c>
      <c r="B30" s="2" t="s">
        <v>28</v>
      </c>
      <c r="C30" s="3">
        <v>38.416150000000002</v>
      </c>
    </row>
    <row r="31" spans="1:3" s="1" customFormat="1" ht="19.75" customHeight="1" x14ac:dyDescent="0.25">
      <c r="A31" s="7">
        <f>2025</f>
        <v>2025</v>
      </c>
      <c r="B31" s="2" t="s">
        <v>29</v>
      </c>
      <c r="C31" s="4">
        <v>2931.4212000000002</v>
      </c>
    </row>
    <row r="32" spans="1:3" s="1" customFormat="1" ht="19.75" customHeight="1" x14ac:dyDescent="0.25">
      <c r="A32" s="7">
        <f>2025</f>
        <v>2025</v>
      </c>
      <c r="B32" s="2" t="s">
        <v>30</v>
      </c>
      <c r="C32" s="3">
        <v>967.19870000000003</v>
      </c>
    </row>
    <row r="33" spans="1:3" s="1" customFormat="1" ht="19.75" customHeight="1" x14ac:dyDescent="0.25">
      <c r="A33" s="7">
        <f>2025</f>
        <v>2025</v>
      </c>
      <c r="B33" s="2" t="s">
        <v>31</v>
      </c>
      <c r="C33" s="4">
        <v>563.13247100000001</v>
      </c>
    </row>
    <row r="34" spans="1:3" s="1" customFormat="1" ht="19.75" customHeight="1" x14ac:dyDescent="0.25">
      <c r="A34" s="7">
        <f>2025</f>
        <v>2025</v>
      </c>
      <c r="B34" s="2" t="s">
        <v>32</v>
      </c>
      <c r="C34" s="3">
        <v>1848.0923</v>
      </c>
    </row>
    <row r="35" spans="1:3" s="1" customFormat="1" ht="19.75" customHeight="1" x14ac:dyDescent="0.25">
      <c r="A35" s="7">
        <f>2025</f>
        <v>2025</v>
      </c>
      <c r="B35" s="2" t="s">
        <v>33</v>
      </c>
      <c r="C35" s="4">
        <v>13.48479</v>
      </c>
    </row>
    <row r="36" spans="1:3" s="1" customFormat="1" ht="19.75" customHeight="1" x14ac:dyDescent="0.25">
      <c r="A36" s="7">
        <f>2025</f>
        <v>2025</v>
      </c>
      <c r="B36" s="2" t="s">
        <v>34</v>
      </c>
      <c r="C36" s="3">
        <v>125.2471</v>
      </c>
    </row>
    <row r="37" spans="1:3" s="1" customFormat="1" ht="19.75" customHeight="1" x14ac:dyDescent="0.25">
      <c r="A37" s="7">
        <f>2025</f>
        <v>2025</v>
      </c>
      <c r="B37" s="2" t="s">
        <v>35</v>
      </c>
      <c r="C37" s="4">
        <v>203.75640000000001</v>
      </c>
    </row>
    <row r="38" spans="1:3" s="1" customFormat="1" ht="19.75" customHeight="1" x14ac:dyDescent="0.25">
      <c r="A38" s="7">
        <f>2025</f>
        <v>2025</v>
      </c>
      <c r="B38" s="2" t="s">
        <v>36</v>
      </c>
      <c r="C38" s="3">
        <v>1658.9490840000001</v>
      </c>
    </row>
    <row r="39" spans="1:3" s="1" customFormat="1" ht="19.75" customHeight="1" x14ac:dyDescent="0.25">
      <c r="A39" s="7">
        <f>2025</f>
        <v>2025</v>
      </c>
      <c r="B39" s="2" t="s">
        <v>37</v>
      </c>
      <c r="C39" s="4">
        <v>21.709899</v>
      </c>
    </row>
    <row r="40" spans="1:3" s="1" customFormat="1" ht="19.75" customHeight="1" x14ac:dyDescent="0.25">
      <c r="A40" s="7">
        <f>2025</f>
        <v>2025</v>
      </c>
      <c r="B40" s="2" t="s">
        <v>38</v>
      </c>
      <c r="C40" s="3">
        <v>7.5601570000000002</v>
      </c>
    </row>
    <row r="41" spans="1:3" s="1" customFormat="1" ht="19.75" customHeight="1" x14ac:dyDescent="0.25">
      <c r="A41" s="7">
        <f>2025</f>
        <v>2025</v>
      </c>
      <c r="B41" s="2" t="s">
        <v>39</v>
      </c>
      <c r="C41" s="4">
        <v>0.96899999999999997</v>
      </c>
    </row>
    <row r="42" spans="1:3" s="1" customFormat="1" ht="19.75" customHeight="1" x14ac:dyDescent="0.25">
      <c r="A42" s="7">
        <f>2025</f>
        <v>2025</v>
      </c>
      <c r="B42" s="2" t="s">
        <v>40</v>
      </c>
      <c r="C42" s="3">
        <v>43.6374</v>
      </c>
    </row>
    <row r="43" spans="1:3" s="1" customFormat="1" ht="19.75" customHeight="1" x14ac:dyDescent="0.25">
      <c r="A43" s="7">
        <f>2025</f>
        <v>2025</v>
      </c>
      <c r="B43" s="2" t="s">
        <v>41</v>
      </c>
      <c r="C43" s="4">
        <v>712.22180000000003</v>
      </c>
    </row>
    <row r="44" spans="1:3" s="1" customFormat="1" ht="19.75" customHeight="1" x14ac:dyDescent="0.25">
      <c r="A44" s="7">
        <f>2025</f>
        <v>2025</v>
      </c>
      <c r="B44" s="2" t="s">
        <v>42</v>
      </c>
      <c r="C44" s="3">
        <v>429.14789999999999</v>
      </c>
    </row>
    <row r="45" spans="1:3" s="1" customFormat="1" ht="19.75" customHeight="1" x14ac:dyDescent="0.25">
      <c r="A45" s="7">
        <f>2025</f>
        <v>2025</v>
      </c>
      <c r="B45" s="2" t="s">
        <v>43</v>
      </c>
      <c r="C45" s="4">
        <v>4680.2209899999998</v>
      </c>
    </row>
    <row r="46" spans="1:3" s="1" customFormat="1" ht="19.75" customHeight="1" x14ac:dyDescent="0.25">
      <c r="A46" s="7">
        <f>2025</f>
        <v>2025</v>
      </c>
      <c r="B46" s="2" t="s">
        <v>44</v>
      </c>
      <c r="C46" s="3">
        <v>23.828099999999999</v>
      </c>
    </row>
    <row r="47" spans="1:3" s="1" customFormat="1" ht="19.75" customHeight="1" x14ac:dyDescent="0.25">
      <c r="A47" s="7">
        <f>2025</f>
        <v>2025</v>
      </c>
      <c r="B47" s="2" t="s">
        <v>45</v>
      </c>
      <c r="C47" s="4">
        <v>141.66330600000001</v>
      </c>
    </row>
    <row r="48" spans="1:3" s="1" customFormat="1" ht="19.75" customHeight="1" x14ac:dyDescent="0.25">
      <c r="A48" s="7">
        <f>2025</f>
        <v>2025</v>
      </c>
      <c r="B48" s="2" t="s">
        <v>46</v>
      </c>
      <c r="C48" s="3">
        <v>30.267199999999999</v>
      </c>
    </row>
    <row r="49" spans="1:3" s="1" customFormat="1" ht="19.75" customHeight="1" x14ac:dyDescent="0.25">
      <c r="A49" s="7">
        <f>2025</f>
        <v>2025</v>
      </c>
      <c r="B49" s="2" t="s">
        <v>47</v>
      </c>
      <c r="C49" s="4">
        <v>613.66160000000002</v>
      </c>
    </row>
    <row r="50" spans="1:3" s="1" customFormat="1" ht="19.75" customHeight="1" x14ac:dyDescent="0.25">
      <c r="A50" s="7">
        <f>2025</f>
        <v>2025</v>
      </c>
      <c r="B50" s="2" t="s">
        <v>48</v>
      </c>
      <c r="C50" s="3">
        <v>2017.2956999999999</v>
      </c>
    </row>
    <row r="51" spans="1:3" s="1" customFormat="1" ht="19.75" customHeight="1" x14ac:dyDescent="0.25">
      <c r="A51" s="7">
        <f>2025</f>
        <v>2025</v>
      </c>
      <c r="B51" s="2" t="s">
        <v>49</v>
      </c>
      <c r="C51" s="4">
        <v>3.681</v>
      </c>
    </row>
    <row r="52" spans="1:3" s="1" customFormat="1" ht="19.75" customHeight="1" x14ac:dyDescent="0.25">
      <c r="A52" s="7">
        <f>2025</f>
        <v>2025</v>
      </c>
      <c r="B52" s="2" t="s">
        <v>50</v>
      </c>
      <c r="C52" s="3">
        <v>61.972799999999999</v>
      </c>
    </row>
    <row r="53" spans="1:3" s="1" customFormat="1" ht="19.75" customHeight="1" x14ac:dyDescent="0.25">
      <c r="A53" s="7">
        <f>2025</f>
        <v>2025</v>
      </c>
      <c r="B53" s="2" t="s">
        <v>51</v>
      </c>
      <c r="C53" s="4">
        <v>58.93</v>
      </c>
    </row>
    <row r="54" spans="1:3" s="1" customFormat="1" ht="19.75" customHeight="1" x14ac:dyDescent="0.25">
      <c r="A54" s="7">
        <f>2025</f>
        <v>2025</v>
      </c>
      <c r="B54" s="2" t="s">
        <v>52</v>
      </c>
      <c r="C54" s="3">
        <v>0.63700000000000001</v>
      </c>
    </row>
    <row r="55" spans="1:3" s="1" customFormat="1" ht="19.75" customHeight="1" x14ac:dyDescent="0.25">
      <c r="A55" s="7">
        <f>2025</f>
        <v>2025</v>
      </c>
      <c r="B55" s="2" t="s">
        <v>53</v>
      </c>
      <c r="C55" s="4">
        <v>51.833399999999997</v>
      </c>
    </row>
    <row r="56" spans="1:3" s="1" customFormat="1" ht="19.75" customHeight="1" x14ac:dyDescent="0.25">
      <c r="A56" s="7">
        <f>2025</f>
        <v>2025</v>
      </c>
      <c r="B56" s="2" t="s">
        <v>54</v>
      </c>
      <c r="C56" s="3">
        <v>14.844099999999999</v>
      </c>
    </row>
    <row r="57" spans="1:3" s="1" customFormat="1" ht="19.75" customHeight="1" x14ac:dyDescent="0.25">
      <c r="A57" s="7">
        <f>2025</f>
        <v>2025</v>
      </c>
      <c r="B57" s="2" t="s">
        <v>55</v>
      </c>
      <c r="C57" s="4">
        <v>2608.8881000000001</v>
      </c>
    </row>
    <row r="58" spans="1:3" s="1" customFormat="1" ht="19.75" customHeight="1" x14ac:dyDescent="0.25">
      <c r="A58" s="7">
        <f>2025</f>
        <v>2025</v>
      </c>
      <c r="B58" s="2" t="s">
        <v>56</v>
      </c>
      <c r="C58" s="3">
        <v>59.865299999999998</v>
      </c>
    </row>
    <row r="59" spans="1:3" s="1" customFormat="1" ht="19.75" customHeight="1" x14ac:dyDescent="0.25">
      <c r="A59" s="7">
        <f>2025</f>
        <v>2025</v>
      </c>
      <c r="B59" s="2" t="s">
        <v>57</v>
      </c>
      <c r="C59" s="4">
        <v>13.0883</v>
      </c>
    </row>
    <row r="60" spans="1:3" s="1" customFormat="1" ht="19.75" customHeight="1" x14ac:dyDescent="0.25">
      <c r="A60" s="7">
        <f>2025</f>
        <v>2025</v>
      </c>
      <c r="B60" s="2" t="s">
        <v>58</v>
      </c>
      <c r="C60" s="3">
        <v>4.492</v>
      </c>
    </row>
    <row r="61" spans="1:3" s="1" customFormat="1" ht="19.75" customHeight="1" x14ac:dyDescent="0.25">
      <c r="A61" s="7">
        <f>2025</f>
        <v>2025</v>
      </c>
      <c r="B61" s="2" t="s">
        <v>59</v>
      </c>
      <c r="C61" s="4">
        <v>28.877400000000002</v>
      </c>
    </row>
    <row r="62" spans="1:3" s="1" customFormat="1" ht="19.75" customHeight="1" x14ac:dyDescent="0.25">
      <c r="A62" s="7">
        <f>2025</f>
        <v>2025</v>
      </c>
      <c r="B62" s="2" t="s">
        <v>60</v>
      </c>
      <c r="C62" s="3">
        <v>519.92139999999995</v>
      </c>
    </row>
    <row r="63" spans="1:3" s="1" customFormat="1" ht="19.75" customHeight="1" x14ac:dyDescent="0.25">
      <c r="A63" s="7">
        <f>2025</f>
        <v>2025</v>
      </c>
      <c r="B63" s="2" t="s">
        <v>61</v>
      </c>
      <c r="C63" s="4">
        <v>654.69010000000003</v>
      </c>
    </row>
    <row r="64" spans="1:3" s="1" customFormat="1" ht="19.75" customHeight="1" x14ac:dyDescent="0.25">
      <c r="A64" s="7">
        <f>2025</f>
        <v>2025</v>
      </c>
      <c r="B64" s="2" t="s">
        <v>62</v>
      </c>
      <c r="C64" s="3">
        <v>111.8858</v>
      </c>
    </row>
    <row r="65" spans="1:3" s="1" customFormat="1" ht="19.75" customHeight="1" x14ac:dyDescent="0.25">
      <c r="A65" s="7">
        <f>2025</f>
        <v>2025</v>
      </c>
      <c r="B65" s="2" t="s">
        <v>63</v>
      </c>
      <c r="C65" s="4">
        <v>0.8992</v>
      </c>
    </row>
    <row r="66" spans="1:3" s="1" customFormat="1" ht="19.75" customHeight="1" x14ac:dyDescent="0.25">
      <c r="A66" s="7">
        <f>2025</f>
        <v>2025</v>
      </c>
      <c r="B66" s="2" t="s">
        <v>64</v>
      </c>
      <c r="C66" s="3">
        <v>3.3248000000000002</v>
      </c>
    </row>
    <row r="67" spans="1:3" s="1" customFormat="1" ht="19.75" customHeight="1" x14ac:dyDescent="0.25">
      <c r="A67" s="7">
        <f>2025</f>
        <v>2025</v>
      </c>
      <c r="B67" s="2" t="s">
        <v>65</v>
      </c>
      <c r="C67" s="4">
        <v>5.6783999999999999</v>
      </c>
    </row>
    <row r="68" spans="1:3" s="1" customFormat="1" ht="19.75" customHeight="1" x14ac:dyDescent="0.25">
      <c r="A68" s="7">
        <f>2025</f>
        <v>2025</v>
      </c>
      <c r="B68" s="2" t="s">
        <v>66</v>
      </c>
      <c r="C68" s="3">
        <v>240.69248400000001</v>
      </c>
    </row>
    <row r="69" spans="1:3" s="1" customFormat="1" ht="19.75" customHeight="1" x14ac:dyDescent="0.25">
      <c r="A69" s="7">
        <f>2025</f>
        <v>2025</v>
      </c>
      <c r="B69" s="2" t="s">
        <v>67</v>
      </c>
      <c r="C69" s="4">
        <v>24.629899999999999</v>
      </c>
    </row>
    <row r="70" spans="1:3" s="1" customFormat="1" ht="19.75" customHeight="1" x14ac:dyDescent="0.25">
      <c r="A70" s="7">
        <f>2025</f>
        <v>2025</v>
      </c>
      <c r="B70" s="2" t="s">
        <v>68</v>
      </c>
      <c r="C70" s="3">
        <v>72.560199999999995</v>
      </c>
    </row>
    <row r="71" spans="1:3" s="1" customFormat="1" ht="19.75" customHeight="1" x14ac:dyDescent="0.25">
      <c r="A71" s="7">
        <f>2025</f>
        <v>2025</v>
      </c>
      <c r="B71" s="2" t="s">
        <v>69</v>
      </c>
      <c r="C71" s="4">
        <v>22.4513</v>
      </c>
    </row>
    <row r="72" spans="1:3" s="1" customFormat="1" ht="19.75" customHeight="1" x14ac:dyDescent="0.25">
      <c r="A72" s="7">
        <f>2025</f>
        <v>2025</v>
      </c>
      <c r="B72" s="2" t="s">
        <v>70</v>
      </c>
      <c r="C72" s="3">
        <v>2.4214000000000002</v>
      </c>
    </row>
    <row r="73" spans="1:3" s="1" customFormat="1" ht="19.75" customHeight="1" x14ac:dyDescent="0.25">
      <c r="A73" s="7">
        <f>2025</f>
        <v>2025</v>
      </c>
      <c r="B73" s="2" t="s">
        <v>71</v>
      </c>
      <c r="C73" s="4">
        <v>1787.031964</v>
      </c>
    </row>
    <row r="74" spans="1:3" s="1" customFormat="1" ht="19.75" customHeight="1" x14ac:dyDescent="0.25">
      <c r="A74" s="7">
        <f>2025</f>
        <v>2025</v>
      </c>
      <c r="B74" s="2" t="s">
        <v>72</v>
      </c>
      <c r="C74" s="3">
        <v>498.52425699999998</v>
      </c>
    </row>
    <row r="75" spans="1:3" s="1" customFormat="1" ht="19.75" customHeight="1" x14ac:dyDescent="0.25">
      <c r="A75" s="7">
        <f>2025</f>
        <v>2025</v>
      </c>
      <c r="B75" s="2" t="s">
        <v>73</v>
      </c>
      <c r="C75" s="4">
        <v>4346.8454000000002</v>
      </c>
    </row>
    <row r="76" spans="1:3" s="1" customFormat="1" ht="19.75" customHeight="1" x14ac:dyDescent="0.25">
      <c r="A76" s="7">
        <f>2025</f>
        <v>2025</v>
      </c>
      <c r="B76" s="2" t="s">
        <v>74</v>
      </c>
      <c r="C76" s="3">
        <v>114.8248</v>
      </c>
    </row>
    <row r="77" spans="1:3" s="1" customFormat="1" ht="19.75" customHeight="1" x14ac:dyDescent="0.25">
      <c r="A77" s="7">
        <f>2025</f>
        <v>2025</v>
      </c>
      <c r="B77" s="2" t="s">
        <v>75</v>
      </c>
      <c r="C77" s="4">
        <v>13.470499999999999</v>
      </c>
    </row>
    <row r="78" spans="1:3" s="1" customFormat="1" ht="19.75" customHeight="1" x14ac:dyDescent="0.25">
      <c r="A78" s="7">
        <f>2025</f>
        <v>2025</v>
      </c>
      <c r="B78" s="2" t="s">
        <v>76</v>
      </c>
      <c r="C78" s="3">
        <v>41.147500000000001</v>
      </c>
    </row>
    <row r="79" spans="1:3" s="1" customFormat="1" ht="19.75" customHeight="1" x14ac:dyDescent="0.25">
      <c r="A79" s="7">
        <f>2025</f>
        <v>2025</v>
      </c>
      <c r="B79" s="2" t="s">
        <v>78</v>
      </c>
      <c r="C79" s="4">
        <v>2474.7506159999998</v>
      </c>
    </row>
    <row r="80" spans="1:3" s="1" customFormat="1" ht="19.75" customHeight="1" x14ac:dyDescent="0.25">
      <c r="A80" s="7">
        <f>2025</f>
        <v>2025</v>
      </c>
      <c r="B80" s="2" t="s">
        <v>79</v>
      </c>
      <c r="C80" s="3">
        <v>53.780099999999997</v>
      </c>
    </row>
    <row r="81" spans="1:3" s="1" customFormat="1" ht="19.75" customHeight="1" x14ac:dyDescent="0.25">
      <c r="A81" s="7">
        <f>2025</f>
        <v>2025</v>
      </c>
      <c r="B81" s="2" t="s">
        <v>80</v>
      </c>
      <c r="C81" s="4">
        <v>1187.2173</v>
      </c>
    </row>
    <row r="82" spans="1:3" s="1" customFormat="1" ht="19.75" customHeight="1" x14ac:dyDescent="0.25">
      <c r="A82" s="7">
        <f>2025</f>
        <v>2025</v>
      </c>
      <c r="B82" s="2" t="s">
        <v>81</v>
      </c>
      <c r="C82" s="3">
        <v>1078.5</v>
      </c>
    </row>
    <row r="83" spans="1:3" s="1" customFormat="1" ht="19.75" customHeight="1" x14ac:dyDescent="0.25">
      <c r="A83" s="7">
        <f>2025</f>
        <v>2025</v>
      </c>
      <c r="B83" s="2" t="s">
        <v>82</v>
      </c>
      <c r="C83" s="4">
        <v>724.95209999999997</v>
      </c>
    </row>
    <row r="84" spans="1:3" s="1" customFormat="1" ht="19.75" customHeight="1" x14ac:dyDescent="0.25">
      <c r="A84" s="7">
        <f>2025</f>
        <v>2025</v>
      </c>
      <c r="B84" s="2" t="s">
        <v>83</v>
      </c>
      <c r="C84" s="3">
        <v>138.72353000000001</v>
      </c>
    </row>
    <row r="85" spans="1:3" s="1" customFormat="1" ht="19.75" customHeight="1" x14ac:dyDescent="0.25">
      <c r="A85" s="7">
        <f>2025</f>
        <v>2025</v>
      </c>
      <c r="B85" s="2" t="s">
        <v>84</v>
      </c>
      <c r="C85" s="4">
        <v>19.969899999999999</v>
      </c>
    </row>
    <row r="86" spans="1:3" s="1" customFormat="1" ht="19.75" customHeight="1" x14ac:dyDescent="0.25">
      <c r="A86" s="7">
        <f>2025</f>
        <v>2025</v>
      </c>
      <c r="B86" s="2" t="s">
        <v>85</v>
      </c>
      <c r="C86" s="3">
        <v>274.23701699999998</v>
      </c>
    </row>
    <row r="87" spans="1:3" s="1" customFormat="1" ht="19.75" customHeight="1" x14ac:dyDescent="0.25">
      <c r="A87" s="7">
        <f>2025</f>
        <v>2025</v>
      </c>
      <c r="B87" s="2" t="s">
        <v>86</v>
      </c>
      <c r="C87" s="4">
        <v>963.12350700000002</v>
      </c>
    </row>
    <row r="88" spans="1:3" s="1" customFormat="1" ht="19.75" customHeight="1" x14ac:dyDescent="0.25">
      <c r="A88" s="7">
        <f>2025</f>
        <v>2025</v>
      </c>
      <c r="B88" s="2" t="s">
        <v>87</v>
      </c>
      <c r="C88" s="3">
        <v>245.93769599999999</v>
      </c>
    </row>
    <row r="89" spans="1:3" s="1" customFormat="1" ht="19.75" customHeight="1" x14ac:dyDescent="0.25">
      <c r="A89" s="7">
        <f>2025</f>
        <v>2025</v>
      </c>
      <c r="B89" s="2" t="s">
        <v>88</v>
      </c>
      <c r="C89" s="4">
        <v>983.23149999999998</v>
      </c>
    </row>
    <row r="90" spans="1:3" s="1" customFormat="1" ht="19.75" customHeight="1" x14ac:dyDescent="0.25">
      <c r="A90" s="7">
        <f>2025</f>
        <v>2025</v>
      </c>
      <c r="B90" s="2" t="s">
        <v>89</v>
      </c>
      <c r="C90" s="3">
        <v>-20.029171000000002</v>
      </c>
    </row>
    <row r="91" spans="1:3" s="1" customFormat="1" ht="19.75" customHeight="1" x14ac:dyDescent="0.25">
      <c r="A91" s="7">
        <f>2025</f>
        <v>2025</v>
      </c>
      <c r="B91" s="2" t="s">
        <v>90</v>
      </c>
      <c r="C91" s="4">
        <v>15.819599999999999</v>
      </c>
    </row>
    <row r="92" spans="1:3" s="1" customFormat="1" ht="19.75" customHeight="1" x14ac:dyDescent="0.25">
      <c r="A92" s="7">
        <f>2025</f>
        <v>2025</v>
      </c>
      <c r="B92" s="2" t="s">
        <v>91</v>
      </c>
      <c r="C92" s="3">
        <v>134.55930000000001</v>
      </c>
    </row>
    <row r="93" spans="1:3" s="1" customFormat="1" ht="19.75" customHeight="1" x14ac:dyDescent="0.25">
      <c r="A93" s="7">
        <f>2025</f>
        <v>2025</v>
      </c>
      <c r="B93" s="2" t="s">
        <v>92</v>
      </c>
      <c r="C93" s="4">
        <v>4.8334000000000001</v>
      </c>
    </row>
    <row r="94" spans="1:3" s="1" customFormat="1" ht="19.75" customHeight="1" x14ac:dyDescent="0.25">
      <c r="A94" s="7">
        <f>2024</f>
        <v>2024</v>
      </c>
      <c r="B94" s="2" t="s">
        <v>0</v>
      </c>
      <c r="C94" s="3">
        <v>13176.4408</v>
      </c>
    </row>
    <row r="95" spans="1:3" s="1" customFormat="1" ht="19.75" customHeight="1" x14ac:dyDescent="0.25">
      <c r="A95" s="7">
        <f>2024</f>
        <v>2024</v>
      </c>
      <c r="B95" s="2" t="s">
        <v>1</v>
      </c>
      <c r="C95" s="4">
        <v>7750.6896999999999</v>
      </c>
    </row>
    <row r="96" spans="1:3" s="1" customFormat="1" ht="19.75" customHeight="1" x14ac:dyDescent="0.25">
      <c r="A96" s="7">
        <f>2024</f>
        <v>2024</v>
      </c>
      <c r="B96" s="2" t="s">
        <v>2</v>
      </c>
      <c r="C96" s="3">
        <v>3950.3101999999999</v>
      </c>
    </row>
    <row r="97" spans="1:3" s="1" customFormat="1" ht="19.75" customHeight="1" x14ac:dyDescent="0.25">
      <c r="A97" s="7">
        <f>2024</f>
        <v>2024</v>
      </c>
      <c r="B97" s="2" t="s">
        <v>3</v>
      </c>
      <c r="C97" s="4">
        <v>14858.258099999999</v>
      </c>
    </row>
    <row r="98" spans="1:3" s="1" customFormat="1" ht="19.75" customHeight="1" x14ac:dyDescent="0.25">
      <c r="A98" s="7">
        <f>2024</f>
        <v>2024</v>
      </c>
      <c r="B98" s="2" t="s">
        <v>4</v>
      </c>
      <c r="C98" s="3">
        <v>4813.63</v>
      </c>
    </row>
    <row r="99" spans="1:3" s="1" customFormat="1" ht="19.75" customHeight="1" x14ac:dyDescent="0.25">
      <c r="A99" s="7">
        <f>2024</f>
        <v>2024</v>
      </c>
      <c r="B99" s="2" t="s">
        <v>5</v>
      </c>
      <c r="C99" s="4">
        <v>8776.6080999999995</v>
      </c>
    </row>
    <row r="100" spans="1:3" s="1" customFormat="1" ht="19.75" customHeight="1" x14ac:dyDescent="0.25">
      <c r="A100" s="7">
        <f>2024</f>
        <v>2024</v>
      </c>
      <c r="B100" s="2" t="s">
        <v>6</v>
      </c>
      <c r="C100" s="3">
        <v>4108.143975</v>
      </c>
    </row>
    <row r="101" spans="1:3" s="1" customFormat="1" ht="19.75" customHeight="1" x14ac:dyDescent="0.25">
      <c r="A101" s="7">
        <f>2024</f>
        <v>2024</v>
      </c>
      <c r="B101" s="2" t="s">
        <v>7</v>
      </c>
      <c r="C101" s="4">
        <v>535.51700000000005</v>
      </c>
    </row>
    <row r="102" spans="1:3" s="1" customFormat="1" ht="19.75" customHeight="1" x14ac:dyDescent="0.25">
      <c r="A102" s="7">
        <f>2024</f>
        <v>2024</v>
      </c>
      <c r="B102" s="2" t="s">
        <v>8</v>
      </c>
      <c r="C102" s="3">
        <v>16686.194100000001</v>
      </c>
    </row>
    <row r="103" spans="1:3" s="1" customFormat="1" ht="19.75" customHeight="1" x14ac:dyDescent="0.25">
      <c r="A103" s="7">
        <f>2024</f>
        <v>2024</v>
      </c>
      <c r="B103" s="2" t="s">
        <v>9</v>
      </c>
      <c r="C103" s="4">
        <v>25620.556700000001</v>
      </c>
    </row>
    <row r="104" spans="1:3" s="1" customFormat="1" ht="19.75" customHeight="1" x14ac:dyDescent="0.25">
      <c r="A104" s="7">
        <f>2024</f>
        <v>2024</v>
      </c>
      <c r="B104" s="2" t="s">
        <v>10</v>
      </c>
      <c r="C104" s="3">
        <v>2922.5016999999998</v>
      </c>
    </row>
    <row r="105" spans="1:3" s="1" customFormat="1" ht="19.75" customHeight="1" x14ac:dyDescent="0.25">
      <c r="A105" s="7">
        <f>2024</f>
        <v>2024</v>
      </c>
      <c r="B105" s="2" t="s">
        <v>11</v>
      </c>
      <c r="C105" s="4">
        <v>14562.3243</v>
      </c>
    </row>
    <row r="106" spans="1:3" s="1" customFormat="1" ht="19.75" customHeight="1" x14ac:dyDescent="0.25">
      <c r="A106" s="7">
        <f>2024</f>
        <v>2024</v>
      </c>
      <c r="B106" s="2" t="s">
        <v>12</v>
      </c>
      <c r="C106" s="3">
        <v>12261.7248</v>
      </c>
    </row>
    <row r="107" spans="1:3" s="1" customFormat="1" ht="19.75" customHeight="1" x14ac:dyDescent="0.25">
      <c r="A107" s="7">
        <f>2024</f>
        <v>2024</v>
      </c>
      <c r="B107" s="2" t="s">
        <v>13</v>
      </c>
      <c r="C107" s="4">
        <v>4409.9207589999996</v>
      </c>
    </row>
    <row r="108" spans="1:3" s="1" customFormat="1" ht="19.75" customHeight="1" x14ac:dyDescent="0.25">
      <c r="A108" s="7">
        <f>2024</f>
        <v>2024</v>
      </c>
      <c r="B108" s="2" t="s">
        <v>14</v>
      </c>
      <c r="C108" s="3">
        <v>501</v>
      </c>
    </row>
    <row r="109" spans="1:3" s="1" customFormat="1" ht="19.75" customHeight="1" x14ac:dyDescent="0.25">
      <c r="A109" s="7">
        <f>2024</f>
        <v>2024</v>
      </c>
      <c r="B109" s="2" t="s">
        <v>15</v>
      </c>
      <c r="C109" s="4">
        <v>213.1001</v>
      </c>
    </row>
    <row r="110" spans="1:3" s="1" customFormat="1" ht="19.75" customHeight="1" x14ac:dyDescent="0.25">
      <c r="A110" s="7">
        <f>2024</f>
        <v>2024</v>
      </c>
      <c r="B110" s="2" t="s">
        <v>16</v>
      </c>
      <c r="C110" s="3">
        <v>328.47019999999998</v>
      </c>
    </row>
    <row r="111" spans="1:3" s="1" customFormat="1" ht="19.75" customHeight="1" x14ac:dyDescent="0.25">
      <c r="A111" s="7">
        <f>2024</f>
        <v>2024</v>
      </c>
      <c r="B111" s="2" t="s">
        <v>17</v>
      </c>
      <c r="C111" s="4">
        <v>11.4398</v>
      </c>
    </row>
    <row r="112" spans="1:3" s="1" customFormat="1" ht="19.75" customHeight="1" x14ac:dyDescent="0.25">
      <c r="A112" s="7">
        <f>2024</f>
        <v>2024</v>
      </c>
      <c r="B112" s="2" t="s">
        <v>18</v>
      </c>
      <c r="C112" s="3">
        <v>1453.8860999999999</v>
      </c>
    </row>
    <row r="113" spans="1:3" s="1" customFormat="1" ht="19.75" customHeight="1" x14ac:dyDescent="0.25">
      <c r="A113" s="7">
        <f>2024</f>
        <v>2024</v>
      </c>
      <c r="B113" s="2" t="s">
        <v>19</v>
      </c>
      <c r="C113" s="4">
        <v>33575.171600000001</v>
      </c>
    </row>
    <row r="114" spans="1:3" s="1" customFormat="1" ht="19.75" customHeight="1" x14ac:dyDescent="0.25">
      <c r="A114" s="7">
        <f>2024</f>
        <v>2024</v>
      </c>
      <c r="B114" s="2" t="s">
        <v>20</v>
      </c>
      <c r="C114" s="3">
        <v>17242.4843</v>
      </c>
    </row>
    <row r="115" spans="1:3" s="1" customFormat="1" ht="19.75" customHeight="1" x14ac:dyDescent="0.25">
      <c r="A115" s="7">
        <f>2024</f>
        <v>2024</v>
      </c>
      <c r="B115" s="2" t="s">
        <v>21</v>
      </c>
      <c r="C115" s="4">
        <v>3957.9560999999999</v>
      </c>
    </row>
    <row r="116" spans="1:3" s="1" customFormat="1" ht="19.75" customHeight="1" x14ac:dyDescent="0.25">
      <c r="A116" s="7">
        <f>2024</f>
        <v>2024</v>
      </c>
      <c r="B116" s="2" t="s">
        <v>22</v>
      </c>
      <c r="C116" s="3">
        <v>3280.4574189999998</v>
      </c>
    </row>
    <row r="117" spans="1:3" s="1" customFormat="1" ht="19.75" customHeight="1" x14ac:dyDescent="0.25">
      <c r="A117" s="7">
        <f>2024</f>
        <v>2024</v>
      </c>
      <c r="B117" s="2" t="s">
        <v>23</v>
      </c>
      <c r="C117" s="4">
        <v>6790.4906000000001</v>
      </c>
    </row>
    <row r="118" spans="1:3" s="1" customFormat="1" ht="19.75" customHeight="1" x14ac:dyDescent="0.25">
      <c r="A118" s="7">
        <f>2024</f>
        <v>2024</v>
      </c>
      <c r="B118" s="2" t="s">
        <v>24</v>
      </c>
      <c r="C118" s="3">
        <v>509.6105</v>
      </c>
    </row>
    <row r="119" spans="1:3" s="1" customFormat="1" ht="19.75" customHeight="1" x14ac:dyDescent="0.25">
      <c r="A119" s="7">
        <f>2024</f>
        <v>2024</v>
      </c>
      <c r="B119" s="2" t="s">
        <v>25</v>
      </c>
      <c r="C119" s="4">
        <v>857.02819999999997</v>
      </c>
    </row>
    <row r="120" spans="1:3" s="1" customFormat="1" ht="19.75" customHeight="1" x14ac:dyDescent="0.25">
      <c r="A120" s="7">
        <f>2024</f>
        <v>2024</v>
      </c>
      <c r="B120" s="2" t="s">
        <v>26</v>
      </c>
      <c r="C120" s="3">
        <v>1224.3301839999999</v>
      </c>
    </row>
    <row r="121" spans="1:3" s="1" customFormat="1" ht="19.75" customHeight="1" x14ac:dyDescent="0.25">
      <c r="A121" s="7">
        <f>2024</f>
        <v>2024</v>
      </c>
      <c r="B121" s="2" t="s">
        <v>27</v>
      </c>
      <c r="C121" s="4">
        <v>5805.8724000000002</v>
      </c>
    </row>
    <row r="122" spans="1:3" s="1" customFormat="1" ht="19.75" customHeight="1" x14ac:dyDescent="0.25">
      <c r="A122" s="7">
        <f>2024</f>
        <v>2024</v>
      </c>
      <c r="B122" s="2" t="s">
        <v>28</v>
      </c>
      <c r="C122" s="3">
        <v>60.186799999999998</v>
      </c>
    </row>
    <row r="123" spans="1:3" s="1" customFormat="1" ht="19.75" customHeight="1" x14ac:dyDescent="0.25">
      <c r="A123" s="7">
        <f>2024</f>
        <v>2024</v>
      </c>
      <c r="B123" s="2" t="s">
        <v>29</v>
      </c>
      <c r="C123" s="4">
        <v>1862.8339000000001</v>
      </c>
    </row>
    <row r="124" spans="1:3" s="1" customFormat="1" ht="19.75" customHeight="1" x14ac:dyDescent="0.25">
      <c r="A124" s="7">
        <f>2024</f>
        <v>2024</v>
      </c>
      <c r="B124" s="2" t="s">
        <v>30</v>
      </c>
      <c r="C124" s="3">
        <v>797.58389999999997</v>
      </c>
    </row>
    <row r="125" spans="1:3" s="1" customFormat="1" ht="19.75" customHeight="1" x14ac:dyDescent="0.25">
      <c r="A125" s="7">
        <f>2024</f>
        <v>2024</v>
      </c>
      <c r="B125" s="2" t="s">
        <v>31</v>
      </c>
      <c r="C125" s="4">
        <v>409.74681099999998</v>
      </c>
    </row>
    <row r="126" spans="1:3" s="1" customFormat="1" ht="19.75" customHeight="1" x14ac:dyDescent="0.25">
      <c r="A126" s="7">
        <f>2024</f>
        <v>2024</v>
      </c>
      <c r="B126" s="2" t="s">
        <v>32</v>
      </c>
      <c r="C126" s="3">
        <v>2135.1817999999998</v>
      </c>
    </row>
    <row r="127" spans="1:3" s="1" customFormat="1" ht="19.75" customHeight="1" x14ac:dyDescent="0.25">
      <c r="A127" s="7">
        <f>2024</f>
        <v>2024</v>
      </c>
      <c r="B127" s="2" t="s">
        <v>93</v>
      </c>
      <c r="C127" s="4">
        <v>11.524139</v>
      </c>
    </row>
    <row r="128" spans="1:3" s="1" customFormat="1" ht="19.75" customHeight="1" x14ac:dyDescent="0.25">
      <c r="A128" s="7">
        <f>2024</f>
        <v>2024</v>
      </c>
      <c r="B128" s="2" t="s">
        <v>34</v>
      </c>
      <c r="C128" s="3">
        <v>23.103400000000001</v>
      </c>
    </row>
    <row r="129" spans="1:3" s="1" customFormat="1" ht="19.75" customHeight="1" x14ac:dyDescent="0.25">
      <c r="A129" s="7">
        <f>2024</f>
        <v>2024</v>
      </c>
      <c r="B129" s="2" t="s">
        <v>35</v>
      </c>
      <c r="C129" s="4">
        <v>101.8129</v>
      </c>
    </row>
    <row r="130" spans="1:3" s="1" customFormat="1" ht="19.75" customHeight="1" x14ac:dyDescent="0.25">
      <c r="A130" s="7">
        <f>2024</f>
        <v>2024</v>
      </c>
      <c r="B130" s="2" t="s">
        <v>36</v>
      </c>
      <c r="C130" s="3">
        <v>1593.097955</v>
      </c>
    </row>
    <row r="131" spans="1:3" s="1" customFormat="1" ht="19.75" customHeight="1" x14ac:dyDescent="0.25">
      <c r="A131" s="7">
        <f>2024</f>
        <v>2024</v>
      </c>
      <c r="B131" s="2" t="s">
        <v>37</v>
      </c>
      <c r="C131" s="4">
        <v>26.990100000000002</v>
      </c>
    </row>
    <row r="132" spans="1:3" s="1" customFormat="1" ht="19.75" customHeight="1" x14ac:dyDescent="0.25">
      <c r="A132" s="7">
        <f>2024</f>
        <v>2024</v>
      </c>
      <c r="B132" s="2" t="s">
        <v>38</v>
      </c>
      <c r="C132" s="3">
        <v>11.799856999999999</v>
      </c>
    </row>
    <row r="133" spans="1:3" s="1" customFormat="1" ht="19.75" customHeight="1" x14ac:dyDescent="0.25">
      <c r="A133" s="7">
        <f>2024</f>
        <v>2024</v>
      </c>
      <c r="B133" s="2" t="s">
        <v>39</v>
      </c>
      <c r="C133" s="4">
        <v>3.2467999999999999</v>
      </c>
    </row>
    <row r="134" spans="1:3" s="1" customFormat="1" ht="19.75" customHeight="1" x14ac:dyDescent="0.25">
      <c r="A134" s="7">
        <f>2024</f>
        <v>2024</v>
      </c>
      <c r="B134" s="2" t="s">
        <v>40</v>
      </c>
      <c r="C134" s="3">
        <v>22.539200000000001</v>
      </c>
    </row>
    <row r="135" spans="1:3" s="1" customFormat="1" ht="19.75" customHeight="1" x14ac:dyDescent="0.25">
      <c r="A135" s="7">
        <f>2024</f>
        <v>2024</v>
      </c>
      <c r="B135" s="2" t="s">
        <v>41</v>
      </c>
      <c r="C135" s="4">
        <v>649.12350000000004</v>
      </c>
    </row>
    <row r="136" spans="1:3" s="1" customFormat="1" ht="19.75" customHeight="1" x14ac:dyDescent="0.25">
      <c r="A136" s="7">
        <f>2024</f>
        <v>2024</v>
      </c>
      <c r="B136" s="2" t="s">
        <v>42</v>
      </c>
      <c r="C136" s="3">
        <v>479.1413</v>
      </c>
    </row>
    <row r="137" spans="1:3" s="1" customFormat="1" ht="19.75" customHeight="1" x14ac:dyDescent="0.25">
      <c r="A137" s="7">
        <f>2024</f>
        <v>2024</v>
      </c>
      <c r="B137" s="2" t="s">
        <v>43</v>
      </c>
      <c r="C137" s="4">
        <v>4977.167719</v>
      </c>
    </row>
    <row r="138" spans="1:3" s="1" customFormat="1" ht="19.75" customHeight="1" x14ac:dyDescent="0.25">
      <c r="A138" s="7">
        <f>2024</f>
        <v>2024</v>
      </c>
      <c r="B138" s="2" t="s">
        <v>44</v>
      </c>
      <c r="C138" s="3">
        <v>-20.230399999999999</v>
      </c>
    </row>
    <row r="139" spans="1:3" s="1" customFormat="1" ht="19.75" customHeight="1" x14ac:dyDescent="0.25">
      <c r="A139" s="7">
        <f>2024</f>
        <v>2024</v>
      </c>
      <c r="B139" s="2" t="s">
        <v>45</v>
      </c>
      <c r="C139" s="4">
        <v>100.455179</v>
      </c>
    </row>
    <row r="140" spans="1:3" s="1" customFormat="1" ht="19.75" customHeight="1" x14ac:dyDescent="0.25">
      <c r="A140" s="7">
        <f>2024</f>
        <v>2024</v>
      </c>
      <c r="B140" s="2" t="s">
        <v>94</v>
      </c>
      <c r="C140" s="3">
        <v>162.3013</v>
      </c>
    </row>
    <row r="141" spans="1:3" s="1" customFormat="1" ht="19.75" customHeight="1" x14ac:dyDescent="0.25">
      <c r="A141" s="7">
        <f>2024</f>
        <v>2024</v>
      </c>
      <c r="B141" s="2" t="s">
        <v>46</v>
      </c>
      <c r="C141" s="4">
        <v>26.677099999999999</v>
      </c>
    </row>
    <row r="142" spans="1:3" s="1" customFormat="1" ht="19.75" customHeight="1" x14ac:dyDescent="0.25">
      <c r="A142" s="7">
        <f>2024</f>
        <v>2024</v>
      </c>
      <c r="B142" s="2" t="s">
        <v>47</v>
      </c>
      <c r="C142" s="3">
        <v>334.7783</v>
      </c>
    </row>
    <row r="143" spans="1:3" s="1" customFormat="1" ht="19.75" customHeight="1" x14ac:dyDescent="0.25">
      <c r="A143" s="7">
        <f>2024</f>
        <v>2024</v>
      </c>
      <c r="B143" s="2" t="s">
        <v>48</v>
      </c>
      <c r="C143" s="4">
        <v>2045.6895</v>
      </c>
    </row>
    <row r="144" spans="1:3" s="1" customFormat="1" ht="19.75" customHeight="1" x14ac:dyDescent="0.25">
      <c r="A144" s="7">
        <f>2024</f>
        <v>2024</v>
      </c>
      <c r="B144" s="2" t="s">
        <v>49</v>
      </c>
      <c r="C144" s="3">
        <v>-6.5301</v>
      </c>
    </row>
    <row r="145" spans="1:3" s="1" customFormat="1" ht="19.75" customHeight="1" x14ac:dyDescent="0.25">
      <c r="A145" s="7">
        <f>2024</f>
        <v>2024</v>
      </c>
      <c r="B145" s="2" t="s">
        <v>50</v>
      </c>
      <c r="C145" s="4">
        <v>54.875300000000003</v>
      </c>
    </row>
    <row r="146" spans="1:3" s="1" customFormat="1" ht="19.75" customHeight="1" x14ac:dyDescent="0.25">
      <c r="A146" s="7">
        <f>2024</f>
        <v>2024</v>
      </c>
      <c r="B146" s="2" t="s">
        <v>51</v>
      </c>
      <c r="C146" s="3">
        <v>-13.869</v>
      </c>
    </row>
    <row r="147" spans="1:3" s="1" customFormat="1" ht="19.75" customHeight="1" x14ac:dyDescent="0.25">
      <c r="A147" s="7">
        <f>2024</f>
        <v>2024</v>
      </c>
      <c r="B147" s="2" t="s">
        <v>52</v>
      </c>
      <c r="C147" s="4">
        <v>0.54220000000000002</v>
      </c>
    </row>
    <row r="148" spans="1:3" s="1" customFormat="1" ht="19.75" customHeight="1" x14ac:dyDescent="0.25">
      <c r="A148" s="7">
        <f>2024</f>
        <v>2024</v>
      </c>
      <c r="B148" s="2" t="s">
        <v>53</v>
      </c>
      <c r="C148" s="3">
        <v>37.975999999999999</v>
      </c>
    </row>
    <row r="149" spans="1:3" s="1" customFormat="1" ht="19.75" customHeight="1" x14ac:dyDescent="0.25">
      <c r="A149" s="7">
        <f>2024</f>
        <v>2024</v>
      </c>
      <c r="B149" s="2" t="s">
        <v>54</v>
      </c>
      <c r="C149" s="4">
        <v>15.904400000000001</v>
      </c>
    </row>
    <row r="150" spans="1:3" s="1" customFormat="1" ht="19.75" customHeight="1" x14ac:dyDescent="0.25">
      <c r="A150" s="7">
        <f>2024</f>
        <v>2024</v>
      </c>
      <c r="B150" s="2" t="s">
        <v>55</v>
      </c>
      <c r="C150" s="3">
        <v>2058.8874999999998</v>
      </c>
    </row>
    <row r="151" spans="1:3" s="1" customFormat="1" ht="19.75" customHeight="1" x14ac:dyDescent="0.25">
      <c r="A151" s="7">
        <f>2024</f>
        <v>2024</v>
      </c>
      <c r="B151" s="2" t="s">
        <v>56</v>
      </c>
      <c r="C151" s="4">
        <v>33.461599999999997</v>
      </c>
    </row>
    <row r="152" spans="1:3" s="1" customFormat="1" ht="19.75" customHeight="1" x14ac:dyDescent="0.25">
      <c r="A152" s="7">
        <f>2024</f>
        <v>2024</v>
      </c>
      <c r="B152" s="2" t="s">
        <v>57</v>
      </c>
      <c r="C152" s="3">
        <v>36.419899999999998</v>
      </c>
    </row>
    <row r="153" spans="1:3" s="1" customFormat="1" ht="19.75" customHeight="1" x14ac:dyDescent="0.25">
      <c r="A153" s="7">
        <f>2024</f>
        <v>2024</v>
      </c>
      <c r="B153" s="2" t="s">
        <v>58</v>
      </c>
      <c r="C153" s="4">
        <v>15.4825</v>
      </c>
    </row>
    <row r="154" spans="1:3" s="1" customFormat="1" ht="19.75" customHeight="1" x14ac:dyDescent="0.25">
      <c r="A154" s="7">
        <f>2024</f>
        <v>2024</v>
      </c>
      <c r="B154" s="2" t="s">
        <v>95</v>
      </c>
      <c r="C154" s="3">
        <v>0</v>
      </c>
    </row>
    <row r="155" spans="1:3" s="1" customFormat="1" ht="19.75" customHeight="1" x14ac:dyDescent="0.25">
      <c r="A155" s="7">
        <f>2024</f>
        <v>2024</v>
      </c>
      <c r="B155" s="2" t="s">
        <v>59</v>
      </c>
      <c r="C155" s="4">
        <v>34.8202</v>
      </c>
    </row>
    <row r="156" spans="1:3" s="1" customFormat="1" ht="19.75" customHeight="1" x14ac:dyDescent="0.25">
      <c r="A156" s="7">
        <f>2024</f>
        <v>2024</v>
      </c>
      <c r="B156" s="2" t="s">
        <v>60</v>
      </c>
      <c r="C156" s="3">
        <v>331.28140000000002</v>
      </c>
    </row>
    <row r="157" spans="1:3" s="1" customFormat="1" ht="19.75" customHeight="1" x14ac:dyDescent="0.25">
      <c r="A157" s="7">
        <f>2024</f>
        <v>2024</v>
      </c>
      <c r="B157" s="2" t="s">
        <v>61</v>
      </c>
      <c r="C157" s="4">
        <v>464.57749999999999</v>
      </c>
    </row>
    <row r="158" spans="1:3" s="1" customFormat="1" ht="19.75" customHeight="1" x14ac:dyDescent="0.25">
      <c r="A158" s="7">
        <f>2024</f>
        <v>2024</v>
      </c>
      <c r="B158" s="2" t="s">
        <v>62</v>
      </c>
      <c r="C158" s="3">
        <v>163.18469999999999</v>
      </c>
    </row>
    <row r="159" spans="1:3" s="1" customFormat="1" ht="19.75" customHeight="1" x14ac:dyDescent="0.25">
      <c r="A159" s="7">
        <f>2024</f>
        <v>2024</v>
      </c>
      <c r="B159" s="2" t="s">
        <v>63</v>
      </c>
      <c r="C159" s="4">
        <v>1.5775999999999999</v>
      </c>
    </row>
    <row r="160" spans="1:3" s="1" customFormat="1" ht="19.75" customHeight="1" x14ac:dyDescent="0.25">
      <c r="A160" s="7">
        <f>2024</f>
        <v>2024</v>
      </c>
      <c r="B160" s="2" t="s">
        <v>64</v>
      </c>
      <c r="C160" s="3">
        <v>0.142655</v>
      </c>
    </row>
    <row r="161" spans="1:3" s="1" customFormat="1" ht="19.75" customHeight="1" x14ac:dyDescent="0.25">
      <c r="A161" s="7">
        <f>2024</f>
        <v>2024</v>
      </c>
      <c r="B161" s="2" t="s">
        <v>65</v>
      </c>
      <c r="C161" s="4">
        <v>22.2835</v>
      </c>
    </row>
    <row r="162" spans="1:3" s="1" customFormat="1" ht="19.75" customHeight="1" x14ac:dyDescent="0.25">
      <c r="A162" s="7">
        <f>2024</f>
        <v>2024</v>
      </c>
      <c r="B162" s="2" t="s">
        <v>66</v>
      </c>
      <c r="C162" s="3">
        <v>576.64823899999999</v>
      </c>
    </row>
    <row r="163" spans="1:3" s="1" customFormat="1" ht="19.75" customHeight="1" x14ac:dyDescent="0.25">
      <c r="A163" s="7">
        <f>2024</f>
        <v>2024</v>
      </c>
      <c r="B163" s="2" t="s">
        <v>67</v>
      </c>
      <c r="C163" s="4">
        <v>26.4345</v>
      </c>
    </row>
    <row r="164" spans="1:3" s="1" customFormat="1" ht="19.75" customHeight="1" x14ac:dyDescent="0.25">
      <c r="A164" s="7">
        <f>2024</f>
        <v>2024</v>
      </c>
      <c r="B164" s="2" t="s">
        <v>68</v>
      </c>
      <c r="C164" s="3">
        <v>80.740099999999998</v>
      </c>
    </row>
    <row r="165" spans="1:3" s="1" customFormat="1" ht="19.75" customHeight="1" x14ac:dyDescent="0.25">
      <c r="A165" s="7">
        <f>2024</f>
        <v>2024</v>
      </c>
      <c r="B165" s="2" t="s">
        <v>69</v>
      </c>
      <c r="C165" s="4">
        <v>93.138400000000004</v>
      </c>
    </row>
    <row r="166" spans="1:3" s="1" customFormat="1" ht="19.75" customHeight="1" x14ac:dyDescent="0.25">
      <c r="A166" s="7">
        <f>2024</f>
        <v>2024</v>
      </c>
      <c r="B166" s="2" t="s">
        <v>96</v>
      </c>
      <c r="C166" s="3">
        <v>5.0076999999999998</v>
      </c>
    </row>
    <row r="167" spans="1:3" s="1" customFormat="1" ht="19.75" customHeight="1" x14ac:dyDescent="0.25">
      <c r="A167" s="7">
        <f>2024</f>
        <v>2024</v>
      </c>
      <c r="B167" s="2" t="s">
        <v>71</v>
      </c>
      <c r="C167" s="4">
        <v>2000.32429</v>
      </c>
    </row>
    <row r="168" spans="1:3" s="1" customFormat="1" ht="19.75" customHeight="1" x14ac:dyDescent="0.25">
      <c r="A168" s="7">
        <f>2024</f>
        <v>2024</v>
      </c>
      <c r="B168" s="2" t="s">
        <v>72</v>
      </c>
      <c r="C168" s="3">
        <v>461.30009999999999</v>
      </c>
    </row>
    <row r="169" spans="1:3" s="1" customFormat="1" ht="19.75" customHeight="1" x14ac:dyDescent="0.25">
      <c r="A169" s="7">
        <f>2024</f>
        <v>2024</v>
      </c>
      <c r="B169" s="2" t="s">
        <v>73</v>
      </c>
      <c r="C169" s="4">
        <v>4133.8768</v>
      </c>
    </row>
    <row r="170" spans="1:3" s="1" customFormat="1" ht="19.75" customHeight="1" x14ac:dyDescent="0.25">
      <c r="A170" s="7">
        <f>2024</f>
        <v>2024</v>
      </c>
      <c r="B170" s="2" t="s">
        <v>75</v>
      </c>
      <c r="C170" s="3">
        <v>18.767800000000001</v>
      </c>
    </row>
    <row r="171" spans="1:3" s="1" customFormat="1" ht="19.75" customHeight="1" x14ac:dyDescent="0.25">
      <c r="A171" s="7">
        <f>2024</f>
        <v>2024</v>
      </c>
      <c r="B171" s="2" t="s">
        <v>76</v>
      </c>
      <c r="C171" s="4">
        <v>47.806600000000003</v>
      </c>
    </row>
    <row r="172" spans="1:3" s="1" customFormat="1" ht="19.75" customHeight="1" x14ac:dyDescent="0.25">
      <c r="A172" s="7">
        <f>2024</f>
        <v>2024</v>
      </c>
      <c r="B172" s="2" t="s">
        <v>78</v>
      </c>
      <c r="C172" s="3">
        <v>854.703172</v>
      </c>
    </row>
    <row r="173" spans="1:3" s="1" customFormat="1" ht="19.75" customHeight="1" x14ac:dyDescent="0.25">
      <c r="A173" s="7">
        <f>2024</f>
        <v>2024</v>
      </c>
      <c r="B173" s="2" t="s">
        <v>79</v>
      </c>
      <c r="C173" s="4">
        <v>43.373600000000003</v>
      </c>
    </row>
    <row r="174" spans="1:3" s="1" customFormat="1" ht="19.75" customHeight="1" x14ac:dyDescent="0.25">
      <c r="A174" s="7">
        <f>2024</f>
        <v>2024</v>
      </c>
      <c r="B174" s="2" t="s">
        <v>80</v>
      </c>
      <c r="C174" s="3">
        <v>578.40419999999995</v>
      </c>
    </row>
    <row r="175" spans="1:3" s="1" customFormat="1" ht="19.75" customHeight="1" x14ac:dyDescent="0.25">
      <c r="A175" s="7">
        <f>2024</f>
        <v>2024</v>
      </c>
      <c r="B175" s="2" t="s">
        <v>81</v>
      </c>
      <c r="C175" s="4">
        <v>737.12040000000002</v>
      </c>
    </row>
    <row r="176" spans="1:3" s="1" customFormat="1" ht="19.75" customHeight="1" x14ac:dyDescent="0.25">
      <c r="A176" s="7">
        <f>2024</f>
        <v>2024</v>
      </c>
      <c r="B176" s="2" t="s">
        <v>97</v>
      </c>
      <c r="C176" s="3">
        <v>311.77759600000002</v>
      </c>
    </row>
    <row r="177" spans="1:3" s="1" customFormat="1" ht="19.75" customHeight="1" x14ac:dyDescent="0.25">
      <c r="A177" s="7">
        <f>2024</f>
        <v>2024</v>
      </c>
      <c r="B177" s="2" t="s">
        <v>82</v>
      </c>
      <c r="C177" s="4">
        <v>523.77160000000003</v>
      </c>
    </row>
    <row r="178" spans="1:3" s="1" customFormat="1" ht="19.75" customHeight="1" x14ac:dyDescent="0.25">
      <c r="A178" s="7">
        <f>2024</f>
        <v>2024</v>
      </c>
      <c r="B178" s="2" t="s">
        <v>83</v>
      </c>
      <c r="C178" s="3">
        <v>105.184754</v>
      </c>
    </row>
    <row r="179" spans="1:3" s="1" customFormat="1" ht="19.75" customHeight="1" x14ac:dyDescent="0.25">
      <c r="A179" s="7">
        <f>2024</f>
        <v>2024</v>
      </c>
      <c r="B179" s="2" t="s">
        <v>84</v>
      </c>
      <c r="C179" s="4">
        <v>16.157900000000001</v>
      </c>
    </row>
    <row r="180" spans="1:3" s="1" customFormat="1" ht="19.75" customHeight="1" x14ac:dyDescent="0.25">
      <c r="A180" s="7">
        <f>2024</f>
        <v>2024</v>
      </c>
      <c r="B180" s="2" t="s">
        <v>85</v>
      </c>
      <c r="C180" s="3">
        <v>237.70666399999999</v>
      </c>
    </row>
    <row r="181" spans="1:3" s="1" customFormat="1" ht="19.75" customHeight="1" x14ac:dyDescent="0.25">
      <c r="A181" s="7">
        <f>2024</f>
        <v>2024</v>
      </c>
      <c r="B181" s="2" t="s">
        <v>86</v>
      </c>
      <c r="C181" s="4">
        <v>635.61228900000003</v>
      </c>
    </row>
    <row r="182" spans="1:3" s="1" customFormat="1" ht="19.75" customHeight="1" x14ac:dyDescent="0.25">
      <c r="A182" s="7">
        <f>2024</f>
        <v>2024</v>
      </c>
      <c r="B182" s="2" t="s">
        <v>87</v>
      </c>
      <c r="C182" s="3">
        <v>-22.220199999999998</v>
      </c>
    </row>
    <row r="183" spans="1:3" s="1" customFormat="1" ht="19.75" customHeight="1" x14ac:dyDescent="0.25">
      <c r="A183" s="7">
        <f>2024</f>
        <v>2024</v>
      </c>
      <c r="B183" s="2" t="s">
        <v>88</v>
      </c>
      <c r="C183" s="4">
        <v>499.63929999999999</v>
      </c>
    </row>
    <row r="184" spans="1:3" s="1" customFormat="1" ht="19.75" customHeight="1" x14ac:dyDescent="0.25">
      <c r="A184" s="7">
        <f>2024</f>
        <v>2024</v>
      </c>
      <c r="B184" s="2" t="s">
        <v>89</v>
      </c>
      <c r="C184" s="3">
        <v>12.566601</v>
      </c>
    </row>
    <row r="185" spans="1:3" s="1" customFormat="1" ht="19.75" customHeight="1" x14ac:dyDescent="0.25">
      <c r="A185" s="7">
        <f>2024</f>
        <v>2024</v>
      </c>
      <c r="B185" s="2" t="s">
        <v>90</v>
      </c>
      <c r="C185" s="4">
        <v>0.63690000000000002</v>
      </c>
    </row>
    <row r="186" spans="1:3" s="1" customFormat="1" ht="19.75" customHeight="1" x14ac:dyDescent="0.25">
      <c r="A186" s="7">
        <f>2024</f>
        <v>2024</v>
      </c>
      <c r="B186" s="2" t="s">
        <v>91</v>
      </c>
      <c r="C186" s="3">
        <v>57.634799999999998</v>
      </c>
    </row>
    <row r="187" spans="1:3" s="1" customFormat="1" ht="19.75" customHeight="1" x14ac:dyDescent="0.25">
      <c r="A187" s="7">
        <f>2024</f>
        <v>2024</v>
      </c>
      <c r="B187" s="2" t="s">
        <v>92</v>
      </c>
      <c r="C187" s="4">
        <v>44.831800000000001</v>
      </c>
    </row>
    <row r="188" spans="1:3" s="1" customFormat="1" ht="19.75" customHeight="1" x14ac:dyDescent="0.25">
      <c r="A188" s="7">
        <f>2023</f>
        <v>2023</v>
      </c>
      <c r="B188" s="2" t="s">
        <v>0</v>
      </c>
      <c r="C188" s="3">
        <v>12753.915199999999</v>
      </c>
    </row>
    <row r="189" spans="1:3" s="1" customFormat="1" ht="19.75" customHeight="1" x14ac:dyDescent="0.25">
      <c r="A189" s="7">
        <f>2023</f>
        <v>2023</v>
      </c>
      <c r="B189" s="2" t="s">
        <v>1</v>
      </c>
      <c r="C189" s="4">
        <v>9369.6808000000001</v>
      </c>
    </row>
    <row r="190" spans="1:3" s="1" customFormat="1" ht="19.75" customHeight="1" x14ac:dyDescent="0.25">
      <c r="A190" s="7">
        <f>2023</f>
        <v>2023</v>
      </c>
      <c r="B190" s="2" t="s">
        <v>2</v>
      </c>
      <c r="C190" s="3">
        <v>3497.1754000000001</v>
      </c>
    </row>
    <row r="191" spans="1:3" s="1" customFormat="1" ht="19.75" customHeight="1" x14ac:dyDescent="0.25">
      <c r="A191" s="7">
        <f>2023</f>
        <v>2023</v>
      </c>
      <c r="B191" s="2" t="s">
        <v>3</v>
      </c>
      <c r="C191" s="4">
        <v>17112.252899999999</v>
      </c>
    </row>
    <row r="192" spans="1:3" s="1" customFormat="1" ht="19.75" customHeight="1" x14ac:dyDescent="0.25">
      <c r="A192" s="7">
        <f>2023</f>
        <v>2023</v>
      </c>
      <c r="B192" s="2" t="s">
        <v>4</v>
      </c>
      <c r="C192" s="3">
        <v>5301.5663000000004</v>
      </c>
    </row>
    <row r="193" spans="1:3" s="1" customFormat="1" ht="19.75" customHeight="1" x14ac:dyDescent="0.25">
      <c r="A193" s="7">
        <f>2023</f>
        <v>2023</v>
      </c>
      <c r="B193" s="2" t="s">
        <v>5</v>
      </c>
      <c r="C193" s="4">
        <v>9988.9202000000005</v>
      </c>
    </row>
    <row r="194" spans="1:3" s="1" customFormat="1" ht="19.75" customHeight="1" x14ac:dyDescent="0.25">
      <c r="A194" s="7">
        <f>2023</f>
        <v>2023</v>
      </c>
      <c r="B194" s="2" t="s">
        <v>6</v>
      </c>
      <c r="C194" s="3">
        <v>3843.3807470000002</v>
      </c>
    </row>
    <row r="195" spans="1:3" s="1" customFormat="1" ht="19.75" customHeight="1" x14ac:dyDescent="0.25">
      <c r="A195" s="7">
        <f>2023</f>
        <v>2023</v>
      </c>
      <c r="B195" s="2" t="s">
        <v>7</v>
      </c>
      <c r="C195" s="4">
        <v>136.90979999999999</v>
      </c>
    </row>
    <row r="196" spans="1:3" s="1" customFormat="1" ht="19.75" customHeight="1" x14ac:dyDescent="0.25">
      <c r="A196" s="7">
        <f>2023</f>
        <v>2023</v>
      </c>
      <c r="B196" s="2" t="s">
        <v>8</v>
      </c>
      <c r="C196" s="3">
        <v>20021.554499999998</v>
      </c>
    </row>
    <row r="197" spans="1:3" s="1" customFormat="1" ht="19.75" customHeight="1" x14ac:dyDescent="0.25">
      <c r="A197" s="7">
        <f>2023</f>
        <v>2023</v>
      </c>
      <c r="B197" s="2" t="s">
        <v>9</v>
      </c>
      <c r="C197" s="4">
        <v>33480.512499999997</v>
      </c>
    </row>
    <row r="198" spans="1:3" s="1" customFormat="1" ht="19.75" customHeight="1" x14ac:dyDescent="0.25">
      <c r="A198" s="7">
        <f>2023</f>
        <v>2023</v>
      </c>
      <c r="B198" s="2" t="s">
        <v>10</v>
      </c>
      <c r="C198" s="3">
        <v>2478.3305</v>
      </c>
    </row>
    <row r="199" spans="1:3" s="1" customFormat="1" ht="19.75" customHeight="1" x14ac:dyDescent="0.25">
      <c r="A199" s="7">
        <f>2023</f>
        <v>2023</v>
      </c>
      <c r="B199" s="2" t="s">
        <v>11</v>
      </c>
      <c r="C199" s="4">
        <v>17033.886299999998</v>
      </c>
    </row>
    <row r="200" spans="1:3" s="1" customFormat="1" ht="19.75" customHeight="1" x14ac:dyDescent="0.25">
      <c r="A200" s="7">
        <f>2023</f>
        <v>2023</v>
      </c>
      <c r="B200" s="2" t="s">
        <v>12</v>
      </c>
      <c r="C200" s="3">
        <v>10210.947700000001</v>
      </c>
    </row>
    <row r="201" spans="1:3" s="1" customFormat="1" ht="19.75" customHeight="1" x14ac:dyDescent="0.25">
      <c r="A201" s="7">
        <f>2023</f>
        <v>2023</v>
      </c>
      <c r="B201" s="2" t="s">
        <v>13</v>
      </c>
      <c r="C201" s="4">
        <v>4896.7115000000003</v>
      </c>
    </row>
    <row r="202" spans="1:3" s="1" customFormat="1" ht="19.75" customHeight="1" x14ac:dyDescent="0.25">
      <c r="A202" s="7">
        <f>2023</f>
        <v>2023</v>
      </c>
      <c r="B202" s="2" t="s">
        <v>14</v>
      </c>
      <c r="C202" s="3">
        <v>880.5</v>
      </c>
    </row>
    <row r="203" spans="1:3" s="1" customFormat="1" ht="19.75" customHeight="1" x14ac:dyDescent="0.25">
      <c r="A203" s="7">
        <f>2023</f>
        <v>2023</v>
      </c>
      <c r="B203" s="2" t="s">
        <v>15</v>
      </c>
      <c r="C203" s="4">
        <v>160.03829999999999</v>
      </c>
    </row>
    <row r="204" spans="1:3" s="1" customFormat="1" ht="19.75" customHeight="1" x14ac:dyDescent="0.25">
      <c r="A204" s="7">
        <f>2023</f>
        <v>2023</v>
      </c>
      <c r="B204" s="2" t="s">
        <v>16</v>
      </c>
      <c r="C204" s="3">
        <v>321.1748</v>
      </c>
    </row>
    <row r="205" spans="1:3" s="1" customFormat="1" ht="19.75" customHeight="1" x14ac:dyDescent="0.25">
      <c r="A205" s="7">
        <f>2023</f>
        <v>2023</v>
      </c>
      <c r="B205" s="2" t="s">
        <v>17</v>
      </c>
      <c r="C205" s="4">
        <v>73.841200000000001</v>
      </c>
    </row>
    <row r="206" spans="1:3" s="1" customFormat="1" ht="19.75" customHeight="1" x14ac:dyDescent="0.25">
      <c r="A206" s="7">
        <f>2023</f>
        <v>2023</v>
      </c>
      <c r="B206" s="2" t="s">
        <v>18</v>
      </c>
      <c r="C206" s="3">
        <v>1783.8009999999999</v>
      </c>
    </row>
    <row r="207" spans="1:3" s="1" customFormat="1" ht="19.75" customHeight="1" x14ac:dyDescent="0.25">
      <c r="A207" s="7">
        <f>2023</f>
        <v>2023</v>
      </c>
      <c r="B207" s="2" t="s">
        <v>19</v>
      </c>
      <c r="C207" s="4">
        <v>26296.258699999998</v>
      </c>
    </row>
    <row r="208" spans="1:3" s="1" customFormat="1" ht="19.75" customHeight="1" x14ac:dyDescent="0.25">
      <c r="A208" s="7">
        <f>2023</f>
        <v>2023</v>
      </c>
      <c r="B208" s="2" t="s">
        <v>20</v>
      </c>
      <c r="C208" s="3">
        <v>17190.314600000002</v>
      </c>
    </row>
    <row r="209" spans="1:3" s="1" customFormat="1" ht="19.75" customHeight="1" x14ac:dyDescent="0.25">
      <c r="A209" s="7">
        <f>2023</f>
        <v>2023</v>
      </c>
      <c r="B209" s="2" t="s">
        <v>21</v>
      </c>
      <c r="C209" s="4">
        <v>5090.7433000000001</v>
      </c>
    </row>
    <row r="210" spans="1:3" s="1" customFormat="1" ht="19.75" customHeight="1" x14ac:dyDescent="0.25">
      <c r="A210" s="7">
        <f>2023</f>
        <v>2023</v>
      </c>
      <c r="B210" s="2" t="s">
        <v>22</v>
      </c>
      <c r="C210" s="3">
        <v>2494.8185790000002</v>
      </c>
    </row>
    <row r="211" spans="1:3" s="1" customFormat="1" ht="19.75" customHeight="1" x14ac:dyDescent="0.25">
      <c r="A211" s="7">
        <f>2023</f>
        <v>2023</v>
      </c>
      <c r="B211" s="2" t="s">
        <v>23</v>
      </c>
      <c r="C211" s="4">
        <v>6956.7682999999997</v>
      </c>
    </row>
    <row r="212" spans="1:3" s="1" customFormat="1" ht="19.75" customHeight="1" x14ac:dyDescent="0.25">
      <c r="A212" s="7">
        <f>2023</f>
        <v>2023</v>
      </c>
      <c r="B212" s="2" t="s">
        <v>24</v>
      </c>
      <c r="C212" s="3">
        <v>661.11019999999996</v>
      </c>
    </row>
    <row r="213" spans="1:3" s="1" customFormat="1" ht="19.75" customHeight="1" x14ac:dyDescent="0.25">
      <c r="A213" s="7">
        <f>2023</f>
        <v>2023</v>
      </c>
      <c r="B213" s="2" t="s">
        <v>25</v>
      </c>
      <c r="C213" s="4">
        <v>1027.9824000000001</v>
      </c>
    </row>
    <row r="214" spans="1:3" s="1" customFormat="1" ht="19.75" customHeight="1" x14ac:dyDescent="0.25">
      <c r="A214" s="7">
        <f>2023</f>
        <v>2023</v>
      </c>
      <c r="B214" s="2" t="s">
        <v>26</v>
      </c>
      <c r="C214" s="3">
        <v>1369.693773</v>
      </c>
    </row>
    <row r="215" spans="1:3" s="1" customFormat="1" ht="19.75" customHeight="1" x14ac:dyDescent="0.25">
      <c r="A215" s="7">
        <f>2023</f>
        <v>2023</v>
      </c>
      <c r="B215" s="2" t="s">
        <v>27</v>
      </c>
      <c r="C215" s="4">
        <v>3908.6774</v>
      </c>
    </row>
    <row r="216" spans="1:3" s="1" customFormat="1" ht="19.75" customHeight="1" x14ac:dyDescent="0.25">
      <c r="A216" s="7">
        <f>2023</f>
        <v>2023</v>
      </c>
      <c r="B216" s="2" t="s">
        <v>28</v>
      </c>
      <c r="C216" s="3">
        <v>30.626747999999999</v>
      </c>
    </row>
    <row r="217" spans="1:3" s="1" customFormat="1" ht="19.75" customHeight="1" x14ac:dyDescent="0.25">
      <c r="A217" s="7">
        <f>2023</f>
        <v>2023</v>
      </c>
      <c r="B217" s="2" t="s">
        <v>29</v>
      </c>
      <c r="C217" s="4">
        <v>1319.7253000000001</v>
      </c>
    </row>
    <row r="218" spans="1:3" s="1" customFormat="1" ht="19.75" customHeight="1" x14ac:dyDescent="0.25">
      <c r="A218" s="7">
        <f>2023</f>
        <v>2023</v>
      </c>
      <c r="B218" s="2" t="s">
        <v>30</v>
      </c>
      <c r="C218" s="3">
        <v>732.23879999999997</v>
      </c>
    </row>
    <row r="219" spans="1:3" s="1" customFormat="1" ht="19.75" customHeight="1" x14ac:dyDescent="0.25">
      <c r="A219" s="7">
        <f>2023</f>
        <v>2023</v>
      </c>
      <c r="B219" s="2" t="s">
        <v>31</v>
      </c>
      <c r="C219" s="4">
        <v>543.58282699999995</v>
      </c>
    </row>
    <row r="220" spans="1:3" s="1" customFormat="1" ht="19.75" customHeight="1" x14ac:dyDescent="0.25">
      <c r="A220" s="7">
        <f>2023</f>
        <v>2023</v>
      </c>
      <c r="B220" s="2" t="s">
        <v>32</v>
      </c>
      <c r="C220" s="3">
        <v>2465.3553000000002</v>
      </c>
    </row>
    <row r="221" spans="1:3" s="1" customFormat="1" ht="19.75" customHeight="1" x14ac:dyDescent="0.25">
      <c r="A221" s="7">
        <f>2023</f>
        <v>2023</v>
      </c>
      <c r="B221" s="2" t="s">
        <v>93</v>
      </c>
      <c r="C221" s="4">
        <v>9.9230579999999993</v>
      </c>
    </row>
    <row r="222" spans="1:3" s="1" customFormat="1" ht="19.75" customHeight="1" x14ac:dyDescent="0.25">
      <c r="A222" s="7">
        <f>2023</f>
        <v>2023</v>
      </c>
      <c r="B222" s="2" t="s">
        <v>34</v>
      </c>
      <c r="C222" s="3">
        <v>43.619599999999998</v>
      </c>
    </row>
    <row r="223" spans="1:3" s="1" customFormat="1" ht="19.75" customHeight="1" x14ac:dyDescent="0.25">
      <c r="A223" s="7">
        <f>2023</f>
        <v>2023</v>
      </c>
      <c r="B223" s="2" t="s">
        <v>35</v>
      </c>
      <c r="C223" s="4">
        <v>71.887900000000002</v>
      </c>
    </row>
    <row r="224" spans="1:3" s="1" customFormat="1" ht="19.75" customHeight="1" x14ac:dyDescent="0.25">
      <c r="A224" s="7">
        <f>2023</f>
        <v>2023</v>
      </c>
      <c r="B224" s="2" t="s">
        <v>36</v>
      </c>
      <c r="C224" s="3">
        <v>986.90962400000001</v>
      </c>
    </row>
    <row r="225" spans="1:3" s="1" customFormat="1" ht="19.75" customHeight="1" x14ac:dyDescent="0.25">
      <c r="A225" s="7">
        <f>2023</f>
        <v>2023</v>
      </c>
      <c r="B225" s="2" t="s">
        <v>37</v>
      </c>
      <c r="C225" s="4">
        <v>11.007</v>
      </c>
    </row>
    <row r="226" spans="1:3" s="1" customFormat="1" ht="19.75" customHeight="1" x14ac:dyDescent="0.25">
      <c r="A226" s="7">
        <f>2023</f>
        <v>2023</v>
      </c>
      <c r="B226" s="2" t="s">
        <v>38</v>
      </c>
      <c r="C226" s="3">
        <v>9.6015479999999993</v>
      </c>
    </row>
    <row r="227" spans="1:3" s="1" customFormat="1" ht="19.75" customHeight="1" x14ac:dyDescent="0.25">
      <c r="A227" s="7">
        <f>2023</f>
        <v>2023</v>
      </c>
      <c r="B227" s="2" t="s">
        <v>39</v>
      </c>
      <c r="C227" s="4">
        <v>11.3414</v>
      </c>
    </row>
    <row r="228" spans="1:3" s="1" customFormat="1" ht="19.75" customHeight="1" x14ac:dyDescent="0.25">
      <c r="A228" s="7">
        <f>2023</f>
        <v>2023</v>
      </c>
      <c r="B228" s="2" t="s">
        <v>40</v>
      </c>
      <c r="C228" s="3">
        <v>6.0926</v>
      </c>
    </row>
    <row r="229" spans="1:3" s="1" customFormat="1" ht="19.75" customHeight="1" x14ac:dyDescent="0.25">
      <c r="A229" s="7">
        <f>2023</f>
        <v>2023</v>
      </c>
      <c r="B229" s="2" t="s">
        <v>41</v>
      </c>
      <c r="C229" s="4">
        <v>586.45630000000006</v>
      </c>
    </row>
    <row r="230" spans="1:3" s="1" customFormat="1" ht="19.75" customHeight="1" x14ac:dyDescent="0.25">
      <c r="A230" s="7">
        <f>2023</f>
        <v>2023</v>
      </c>
      <c r="B230" s="2" t="s">
        <v>42</v>
      </c>
      <c r="C230" s="3">
        <v>408.0967</v>
      </c>
    </row>
    <row r="231" spans="1:3" s="1" customFormat="1" ht="19.75" customHeight="1" x14ac:dyDescent="0.25">
      <c r="A231" s="7">
        <f>2023</f>
        <v>2023</v>
      </c>
      <c r="B231" s="2" t="s">
        <v>43</v>
      </c>
      <c r="C231" s="4">
        <v>6367.6203230000001</v>
      </c>
    </row>
    <row r="232" spans="1:3" s="1" customFormat="1" ht="19.75" customHeight="1" x14ac:dyDescent="0.25">
      <c r="A232" s="7">
        <f>2023</f>
        <v>2023</v>
      </c>
      <c r="B232" s="2" t="s">
        <v>44</v>
      </c>
      <c r="C232" s="3">
        <v>13.1241</v>
      </c>
    </row>
    <row r="233" spans="1:3" s="1" customFormat="1" ht="19.75" customHeight="1" x14ac:dyDescent="0.25">
      <c r="A233" s="7">
        <f>2023</f>
        <v>2023</v>
      </c>
      <c r="B233" s="2" t="s">
        <v>45</v>
      </c>
      <c r="C233" s="4">
        <v>88.345642999999995</v>
      </c>
    </row>
    <row r="234" spans="1:3" s="1" customFormat="1" ht="19.75" customHeight="1" x14ac:dyDescent="0.25">
      <c r="A234" s="7">
        <f>2023</f>
        <v>2023</v>
      </c>
      <c r="B234" s="2" t="s">
        <v>94</v>
      </c>
      <c r="C234" s="3">
        <v>215.20419999999999</v>
      </c>
    </row>
    <row r="235" spans="1:3" s="1" customFormat="1" ht="19.75" customHeight="1" x14ac:dyDescent="0.25">
      <c r="A235" s="7">
        <f>2023</f>
        <v>2023</v>
      </c>
      <c r="B235" s="2" t="s">
        <v>46</v>
      </c>
      <c r="C235" s="4">
        <v>11.7377</v>
      </c>
    </row>
    <row r="236" spans="1:3" s="1" customFormat="1" ht="19.75" customHeight="1" x14ac:dyDescent="0.25">
      <c r="A236" s="7">
        <f>2023</f>
        <v>2023</v>
      </c>
      <c r="B236" s="2" t="s">
        <v>47</v>
      </c>
      <c r="C236" s="3">
        <v>156.33189999999999</v>
      </c>
    </row>
    <row r="237" spans="1:3" s="1" customFormat="1" ht="19.75" customHeight="1" x14ac:dyDescent="0.25">
      <c r="A237" s="7">
        <f>2023</f>
        <v>2023</v>
      </c>
      <c r="B237" s="2" t="s">
        <v>48</v>
      </c>
      <c r="C237" s="4">
        <v>1289.3770999999999</v>
      </c>
    </row>
    <row r="238" spans="1:3" s="1" customFormat="1" ht="19.75" customHeight="1" x14ac:dyDescent="0.25">
      <c r="A238" s="7">
        <f>2023</f>
        <v>2023</v>
      </c>
      <c r="B238" s="2" t="s">
        <v>49</v>
      </c>
      <c r="C238" s="3">
        <v>11.3116</v>
      </c>
    </row>
    <row r="239" spans="1:3" s="1" customFormat="1" ht="19.75" customHeight="1" x14ac:dyDescent="0.25">
      <c r="A239" s="7">
        <f>2023</f>
        <v>2023</v>
      </c>
      <c r="B239" s="2" t="s">
        <v>50</v>
      </c>
      <c r="C239" s="4">
        <v>48.638100000000001</v>
      </c>
    </row>
    <row r="240" spans="1:3" s="1" customFormat="1" ht="19.75" customHeight="1" x14ac:dyDescent="0.25">
      <c r="A240" s="7">
        <f>2023</f>
        <v>2023</v>
      </c>
      <c r="B240" s="2" t="s">
        <v>51</v>
      </c>
      <c r="C240" s="3">
        <v>159.00409999999999</v>
      </c>
    </row>
    <row r="241" spans="1:3" s="1" customFormat="1" ht="19.75" customHeight="1" x14ac:dyDescent="0.25">
      <c r="A241" s="7">
        <f>2023</f>
        <v>2023</v>
      </c>
      <c r="B241" s="2" t="s">
        <v>52</v>
      </c>
      <c r="C241" s="4">
        <v>0.61839999999999995</v>
      </c>
    </row>
    <row r="242" spans="1:3" s="1" customFormat="1" ht="19.75" customHeight="1" x14ac:dyDescent="0.25">
      <c r="A242" s="7">
        <f>2023</f>
        <v>2023</v>
      </c>
      <c r="B242" s="2" t="s">
        <v>53</v>
      </c>
      <c r="C242" s="3">
        <v>12.824999999999999</v>
      </c>
    </row>
    <row r="243" spans="1:3" s="1" customFormat="1" ht="19.75" customHeight="1" x14ac:dyDescent="0.25">
      <c r="A243" s="7">
        <f>2023</f>
        <v>2023</v>
      </c>
      <c r="B243" s="2" t="s">
        <v>54</v>
      </c>
      <c r="C243" s="4">
        <v>13.186</v>
      </c>
    </row>
    <row r="244" spans="1:3" s="1" customFormat="1" ht="19.75" customHeight="1" x14ac:dyDescent="0.25">
      <c r="A244" s="7">
        <f>2023</f>
        <v>2023</v>
      </c>
      <c r="B244" s="2" t="s">
        <v>55</v>
      </c>
      <c r="C244" s="3">
        <v>1650.9522999999999</v>
      </c>
    </row>
    <row r="245" spans="1:3" s="1" customFormat="1" ht="19.75" customHeight="1" x14ac:dyDescent="0.25">
      <c r="A245" s="7">
        <f>2023</f>
        <v>2023</v>
      </c>
      <c r="B245" s="2" t="s">
        <v>56</v>
      </c>
      <c r="C245" s="4">
        <v>4.5297999999999998</v>
      </c>
    </row>
    <row r="246" spans="1:3" s="1" customFormat="1" ht="19.75" customHeight="1" x14ac:dyDescent="0.25">
      <c r="A246" s="7">
        <f>2023</f>
        <v>2023</v>
      </c>
      <c r="B246" s="2" t="s">
        <v>57</v>
      </c>
      <c r="C246" s="3">
        <v>48.816800000000001</v>
      </c>
    </row>
    <row r="247" spans="1:3" s="1" customFormat="1" ht="19.75" customHeight="1" x14ac:dyDescent="0.25">
      <c r="A247" s="7">
        <f>2023</f>
        <v>2023</v>
      </c>
      <c r="B247" s="2" t="s">
        <v>58</v>
      </c>
      <c r="C247" s="4">
        <v>3.1044</v>
      </c>
    </row>
    <row r="248" spans="1:3" s="1" customFormat="1" ht="19.75" customHeight="1" x14ac:dyDescent="0.25">
      <c r="A248" s="7">
        <f>2023</f>
        <v>2023</v>
      </c>
      <c r="B248" s="2" t="s">
        <v>95</v>
      </c>
      <c r="C248" s="3" t="s">
        <v>77</v>
      </c>
    </row>
    <row r="249" spans="1:3" s="1" customFormat="1" ht="19.75" customHeight="1" x14ac:dyDescent="0.25">
      <c r="A249" s="7">
        <f>2023</f>
        <v>2023</v>
      </c>
      <c r="B249" s="2" t="s">
        <v>59</v>
      </c>
      <c r="C249" s="4">
        <v>34.551200000000001</v>
      </c>
    </row>
    <row r="250" spans="1:3" s="1" customFormat="1" ht="19.75" customHeight="1" x14ac:dyDescent="0.25">
      <c r="A250" s="7">
        <f>2023</f>
        <v>2023</v>
      </c>
      <c r="B250" s="2" t="s">
        <v>60</v>
      </c>
      <c r="C250" s="3">
        <v>219.56450000000001</v>
      </c>
    </row>
    <row r="251" spans="1:3" s="1" customFormat="1" ht="19.75" customHeight="1" x14ac:dyDescent="0.25">
      <c r="A251" s="7">
        <f>2023</f>
        <v>2023</v>
      </c>
      <c r="B251" s="2" t="s">
        <v>61</v>
      </c>
      <c r="C251" s="4">
        <v>345.23970000000003</v>
      </c>
    </row>
    <row r="252" spans="1:3" s="1" customFormat="1" ht="19.75" customHeight="1" x14ac:dyDescent="0.25">
      <c r="A252" s="7">
        <f>2023</f>
        <v>2023</v>
      </c>
      <c r="B252" s="2" t="s">
        <v>62</v>
      </c>
      <c r="C252" s="3">
        <v>93.486400000000003</v>
      </c>
    </row>
    <row r="253" spans="1:3" s="1" customFormat="1" ht="19.75" customHeight="1" x14ac:dyDescent="0.25">
      <c r="A253" s="7">
        <f>2023</f>
        <v>2023</v>
      </c>
      <c r="B253" s="2" t="s">
        <v>64</v>
      </c>
      <c r="C253" s="4">
        <v>0.251556</v>
      </c>
    </row>
    <row r="254" spans="1:3" s="1" customFormat="1" ht="19.75" customHeight="1" x14ac:dyDescent="0.25">
      <c r="A254" s="7">
        <f>2023</f>
        <v>2023</v>
      </c>
      <c r="B254" s="2" t="s">
        <v>65</v>
      </c>
      <c r="C254" s="3">
        <v>1.8656999999999999</v>
      </c>
    </row>
    <row r="255" spans="1:3" s="1" customFormat="1" ht="19.75" customHeight="1" x14ac:dyDescent="0.25">
      <c r="A255" s="7">
        <f>2023</f>
        <v>2023</v>
      </c>
      <c r="B255" s="2" t="s">
        <v>66</v>
      </c>
      <c r="C255" s="4">
        <v>293.35267800000003</v>
      </c>
    </row>
    <row r="256" spans="1:3" s="1" customFormat="1" ht="19.75" customHeight="1" x14ac:dyDescent="0.25">
      <c r="A256" s="7">
        <f>2023</f>
        <v>2023</v>
      </c>
      <c r="B256" s="2" t="s">
        <v>67</v>
      </c>
      <c r="C256" s="3">
        <v>16.834299999999999</v>
      </c>
    </row>
    <row r="257" spans="1:3" s="1" customFormat="1" ht="19.75" customHeight="1" x14ac:dyDescent="0.25">
      <c r="A257" s="7">
        <f>2023</f>
        <v>2023</v>
      </c>
      <c r="B257" s="2" t="s">
        <v>68</v>
      </c>
      <c r="C257" s="4">
        <v>72.704899999999995</v>
      </c>
    </row>
    <row r="258" spans="1:3" s="1" customFormat="1" ht="19.75" customHeight="1" x14ac:dyDescent="0.25">
      <c r="A258" s="7">
        <f>2023</f>
        <v>2023</v>
      </c>
      <c r="B258" s="2" t="s">
        <v>69</v>
      </c>
      <c r="C258" s="3">
        <v>43.235500000000002</v>
      </c>
    </row>
    <row r="259" spans="1:3" s="1" customFormat="1" ht="19.75" customHeight="1" x14ac:dyDescent="0.25">
      <c r="A259" s="7">
        <f>2023</f>
        <v>2023</v>
      </c>
      <c r="B259" s="2" t="s">
        <v>96</v>
      </c>
      <c r="C259" s="4">
        <v>3.4373999999999998</v>
      </c>
    </row>
    <row r="260" spans="1:3" s="1" customFormat="1" ht="19.75" customHeight="1" x14ac:dyDescent="0.25">
      <c r="A260" s="7">
        <f>2023</f>
        <v>2023</v>
      </c>
      <c r="B260" s="2" t="s">
        <v>71</v>
      </c>
      <c r="C260" s="3">
        <v>1578.0944950000001</v>
      </c>
    </row>
    <row r="261" spans="1:3" s="1" customFormat="1" ht="19.75" customHeight="1" x14ac:dyDescent="0.25">
      <c r="A261" s="7">
        <f>2023</f>
        <v>2023</v>
      </c>
      <c r="B261" s="2" t="s">
        <v>72</v>
      </c>
      <c r="C261" s="4">
        <v>371.40694000000002</v>
      </c>
    </row>
    <row r="262" spans="1:3" s="1" customFormat="1" ht="19.75" customHeight="1" x14ac:dyDescent="0.25">
      <c r="A262" s="7">
        <f>2023</f>
        <v>2023</v>
      </c>
      <c r="B262" s="2" t="s">
        <v>73</v>
      </c>
      <c r="C262" s="3">
        <v>3016.3941</v>
      </c>
    </row>
    <row r="263" spans="1:3" s="1" customFormat="1" ht="19.75" customHeight="1" x14ac:dyDescent="0.25">
      <c r="A263" s="7">
        <f>2023</f>
        <v>2023</v>
      </c>
      <c r="B263" s="2" t="s">
        <v>75</v>
      </c>
      <c r="C263" s="4">
        <v>0.40289999999999998</v>
      </c>
    </row>
    <row r="264" spans="1:3" s="1" customFormat="1" ht="19.75" customHeight="1" x14ac:dyDescent="0.25">
      <c r="A264" s="7">
        <f>2023</f>
        <v>2023</v>
      </c>
      <c r="B264" s="2" t="s">
        <v>76</v>
      </c>
      <c r="C264" s="3">
        <v>20.370799999999999</v>
      </c>
    </row>
    <row r="265" spans="1:3" s="1" customFormat="1" ht="19.75" customHeight="1" x14ac:dyDescent="0.25">
      <c r="A265" s="7">
        <f>2023</f>
        <v>2023</v>
      </c>
      <c r="B265" s="2" t="s">
        <v>78</v>
      </c>
      <c r="C265" s="4">
        <v>591.55091100000004</v>
      </c>
    </row>
    <row r="266" spans="1:3" s="1" customFormat="1" ht="19.75" customHeight="1" x14ac:dyDescent="0.25">
      <c r="A266" s="7">
        <f>2023</f>
        <v>2023</v>
      </c>
      <c r="B266" s="2" t="s">
        <v>79</v>
      </c>
      <c r="C266" s="3">
        <v>55.108600000000003</v>
      </c>
    </row>
    <row r="267" spans="1:3" s="1" customFormat="1" ht="19.75" customHeight="1" x14ac:dyDescent="0.25">
      <c r="A267" s="7">
        <f>2023</f>
        <v>2023</v>
      </c>
      <c r="B267" s="2" t="s">
        <v>80</v>
      </c>
      <c r="C267" s="4">
        <v>602.41700000000003</v>
      </c>
    </row>
    <row r="268" spans="1:3" s="1" customFormat="1" ht="19.75" customHeight="1" x14ac:dyDescent="0.25">
      <c r="A268" s="7">
        <f>2023</f>
        <v>2023</v>
      </c>
      <c r="B268" s="2" t="s">
        <v>81</v>
      </c>
      <c r="C268" s="3">
        <v>591.37940000000003</v>
      </c>
    </row>
    <row r="269" spans="1:3" s="1" customFormat="1" ht="19.75" customHeight="1" x14ac:dyDescent="0.25">
      <c r="A269" s="7">
        <f>2023</f>
        <v>2023</v>
      </c>
      <c r="B269" s="2" t="s">
        <v>97</v>
      </c>
      <c r="C269" s="4">
        <v>339.43202100000002</v>
      </c>
    </row>
    <row r="270" spans="1:3" s="1" customFormat="1" ht="19.75" customHeight="1" x14ac:dyDescent="0.25">
      <c r="A270" s="7">
        <f>2023</f>
        <v>2023</v>
      </c>
      <c r="B270" s="2" t="s">
        <v>82</v>
      </c>
      <c r="C270" s="3">
        <v>744.40319999999997</v>
      </c>
    </row>
    <row r="271" spans="1:3" s="1" customFormat="1" ht="19.75" customHeight="1" x14ac:dyDescent="0.25">
      <c r="A271" s="7">
        <f>2023</f>
        <v>2023</v>
      </c>
      <c r="B271" s="2" t="s">
        <v>83</v>
      </c>
      <c r="C271" s="4">
        <v>229.06370000000001</v>
      </c>
    </row>
    <row r="272" spans="1:3" s="1" customFormat="1" ht="19.75" customHeight="1" x14ac:dyDescent="0.25">
      <c r="A272" s="7">
        <f>2023</f>
        <v>2023</v>
      </c>
      <c r="B272" s="2" t="s">
        <v>84</v>
      </c>
      <c r="C272" s="3">
        <v>4.7755000000000001</v>
      </c>
    </row>
    <row r="273" spans="1:3" s="1" customFormat="1" ht="19.75" customHeight="1" x14ac:dyDescent="0.25">
      <c r="A273" s="7">
        <f>2023</f>
        <v>2023</v>
      </c>
      <c r="B273" s="2" t="s">
        <v>85</v>
      </c>
      <c r="C273" s="4">
        <v>259.76713000000001</v>
      </c>
    </row>
    <row r="274" spans="1:3" s="1" customFormat="1" ht="19.75" customHeight="1" x14ac:dyDescent="0.25">
      <c r="A274" s="7">
        <f>2023</f>
        <v>2023</v>
      </c>
      <c r="B274" s="2" t="s">
        <v>86</v>
      </c>
      <c r="C274" s="3">
        <v>385.11160000000001</v>
      </c>
    </row>
    <row r="275" spans="1:3" s="1" customFormat="1" ht="19.75" customHeight="1" x14ac:dyDescent="0.25">
      <c r="A275" s="7">
        <f>2023</f>
        <v>2023</v>
      </c>
      <c r="B275" s="2" t="s">
        <v>87</v>
      </c>
      <c r="C275" s="4">
        <v>117.18</v>
      </c>
    </row>
    <row r="276" spans="1:3" s="1" customFormat="1" ht="19.75" customHeight="1" x14ac:dyDescent="0.25">
      <c r="A276" s="7">
        <f>2023</f>
        <v>2023</v>
      </c>
      <c r="B276" s="2" t="s">
        <v>88</v>
      </c>
      <c r="C276" s="3">
        <v>433.82159999999999</v>
      </c>
    </row>
    <row r="277" spans="1:3" s="1" customFormat="1" ht="19.75" customHeight="1" x14ac:dyDescent="0.25">
      <c r="A277" s="7">
        <f>2023</f>
        <v>2023</v>
      </c>
      <c r="B277" s="2" t="s">
        <v>89</v>
      </c>
      <c r="C277" s="4">
        <v>6.2462749999999998</v>
      </c>
    </row>
    <row r="278" spans="1:3" s="1" customFormat="1" ht="19.75" customHeight="1" x14ac:dyDescent="0.25">
      <c r="A278" s="7">
        <f>2023</f>
        <v>2023</v>
      </c>
      <c r="B278" s="2" t="s">
        <v>90</v>
      </c>
      <c r="C278" s="5" t="s">
        <v>77</v>
      </c>
    </row>
    <row r="279" spans="1:3" s="1" customFormat="1" ht="19.75" customHeight="1" x14ac:dyDescent="0.25">
      <c r="A279" s="7">
        <f>2023</f>
        <v>2023</v>
      </c>
      <c r="B279" s="2" t="s">
        <v>91</v>
      </c>
      <c r="C279" s="4">
        <v>5.8266999999999998</v>
      </c>
    </row>
    <row r="280" spans="1:3" s="1" customFormat="1" ht="19.75" customHeight="1" x14ac:dyDescent="0.25">
      <c r="A280" s="7">
        <f>2023</f>
        <v>2023</v>
      </c>
      <c r="B280" s="2" t="s">
        <v>92</v>
      </c>
      <c r="C280" s="3">
        <v>7.5842999999999998</v>
      </c>
    </row>
    <row r="281" spans="1:3" s="1" customFormat="1" ht="19.75" customHeight="1" x14ac:dyDescent="0.25">
      <c r="A281" s="7">
        <f>2022</f>
        <v>2022</v>
      </c>
      <c r="B281" s="2" t="s">
        <v>0</v>
      </c>
      <c r="C281" s="4">
        <v>15116.5681</v>
      </c>
    </row>
    <row r="282" spans="1:3" s="1" customFormat="1" ht="19.75" customHeight="1" x14ac:dyDescent="0.25">
      <c r="A282" s="7">
        <f>2022</f>
        <v>2022</v>
      </c>
      <c r="B282" s="2" t="s">
        <v>1</v>
      </c>
      <c r="C282" s="3">
        <v>6583.7587999999996</v>
      </c>
    </row>
    <row r="283" spans="1:3" s="1" customFormat="1" ht="19.75" customHeight="1" x14ac:dyDescent="0.25">
      <c r="A283" s="7">
        <f>2022</f>
        <v>2022</v>
      </c>
      <c r="B283" s="2" t="s">
        <v>2</v>
      </c>
      <c r="C283" s="4">
        <v>3696.3271</v>
      </c>
    </row>
    <row r="284" spans="1:3" s="1" customFormat="1" ht="19.75" customHeight="1" x14ac:dyDescent="0.25">
      <c r="A284" s="7">
        <f>2022</f>
        <v>2022</v>
      </c>
      <c r="B284" s="2" t="s">
        <v>3</v>
      </c>
      <c r="C284" s="3">
        <v>17410.5645</v>
      </c>
    </row>
    <row r="285" spans="1:3" s="1" customFormat="1" ht="19.75" customHeight="1" x14ac:dyDescent="0.25">
      <c r="A285" s="7">
        <f>2022</f>
        <v>2022</v>
      </c>
      <c r="B285" s="2" t="s">
        <v>4</v>
      </c>
      <c r="C285" s="4">
        <v>4152.3220000000001</v>
      </c>
    </row>
    <row r="286" spans="1:3" s="1" customFormat="1" ht="19.75" customHeight="1" x14ac:dyDescent="0.25">
      <c r="A286" s="7">
        <f>2022</f>
        <v>2022</v>
      </c>
      <c r="B286" s="2" t="s">
        <v>5</v>
      </c>
      <c r="C286" s="3">
        <v>8772.0764999999992</v>
      </c>
    </row>
    <row r="287" spans="1:3" s="1" customFormat="1" ht="19.75" customHeight="1" x14ac:dyDescent="0.25">
      <c r="A287" s="7">
        <f>2022</f>
        <v>2022</v>
      </c>
      <c r="B287" s="2" t="s">
        <v>6</v>
      </c>
      <c r="C287" s="4">
        <v>4053.3712999999998</v>
      </c>
    </row>
    <row r="288" spans="1:3" s="1" customFormat="1" ht="19.75" customHeight="1" x14ac:dyDescent="0.25">
      <c r="A288" s="7">
        <f>2022</f>
        <v>2022</v>
      </c>
      <c r="B288" s="2" t="s">
        <v>7</v>
      </c>
      <c r="C288" s="3">
        <v>291.03590000000003</v>
      </c>
    </row>
    <row r="289" spans="1:3" s="1" customFormat="1" ht="19.75" customHeight="1" x14ac:dyDescent="0.25">
      <c r="A289" s="7">
        <f>2022</f>
        <v>2022</v>
      </c>
      <c r="B289" s="2" t="s">
        <v>8</v>
      </c>
      <c r="C289" s="4">
        <v>17304.859499999999</v>
      </c>
    </row>
    <row r="290" spans="1:3" s="1" customFormat="1" ht="19.75" customHeight="1" x14ac:dyDescent="0.25">
      <c r="A290" s="7">
        <f>2022</f>
        <v>2022</v>
      </c>
      <c r="B290" s="2" t="s">
        <v>9</v>
      </c>
      <c r="C290" s="3">
        <v>36198.004399999998</v>
      </c>
    </row>
    <row r="291" spans="1:3" s="1" customFormat="1" ht="19.75" customHeight="1" x14ac:dyDescent="0.25">
      <c r="A291" s="7">
        <f>2022</f>
        <v>2022</v>
      </c>
      <c r="B291" s="2" t="s">
        <v>10</v>
      </c>
      <c r="C291" s="4">
        <v>3867.6702</v>
      </c>
    </row>
    <row r="292" spans="1:3" s="1" customFormat="1" ht="19.75" customHeight="1" x14ac:dyDescent="0.25">
      <c r="A292" s="7">
        <f>2022</f>
        <v>2022</v>
      </c>
      <c r="B292" s="2" t="s">
        <v>11</v>
      </c>
      <c r="C292" s="3">
        <v>16641.112300000001</v>
      </c>
    </row>
    <row r="293" spans="1:3" s="1" customFormat="1" ht="19.75" customHeight="1" x14ac:dyDescent="0.25">
      <c r="A293" s="7">
        <f>2022</f>
        <v>2022</v>
      </c>
      <c r="B293" s="2" t="s">
        <v>12</v>
      </c>
      <c r="C293" s="4">
        <v>11716.5291</v>
      </c>
    </row>
    <row r="294" spans="1:3" s="1" customFormat="1" ht="19.75" customHeight="1" x14ac:dyDescent="0.25">
      <c r="A294" s="7">
        <f>2022</f>
        <v>2022</v>
      </c>
      <c r="B294" s="2" t="s">
        <v>13</v>
      </c>
      <c r="C294" s="3">
        <v>7887.6094000000003</v>
      </c>
    </row>
    <row r="295" spans="1:3" s="1" customFormat="1" ht="19.75" customHeight="1" x14ac:dyDescent="0.25">
      <c r="A295" s="7">
        <f>2022</f>
        <v>2022</v>
      </c>
      <c r="B295" s="2" t="s">
        <v>14</v>
      </c>
      <c r="C295" s="4">
        <v>835.14589999999998</v>
      </c>
    </row>
    <row r="296" spans="1:3" s="1" customFormat="1" ht="19.75" customHeight="1" x14ac:dyDescent="0.25">
      <c r="A296" s="7">
        <f>2022</f>
        <v>2022</v>
      </c>
      <c r="B296" s="2" t="s">
        <v>15</v>
      </c>
      <c r="C296" s="3">
        <v>155.2268</v>
      </c>
    </row>
    <row r="297" spans="1:3" s="1" customFormat="1" ht="19.75" customHeight="1" x14ac:dyDescent="0.25">
      <c r="A297" s="7">
        <f>2022</f>
        <v>2022</v>
      </c>
      <c r="B297" s="2" t="s">
        <v>16</v>
      </c>
      <c r="C297" s="4">
        <v>509.47800000000001</v>
      </c>
    </row>
    <row r="298" spans="1:3" s="1" customFormat="1" ht="19.75" customHeight="1" x14ac:dyDescent="0.25">
      <c r="A298" s="7">
        <f>2022</f>
        <v>2022</v>
      </c>
      <c r="B298" s="2" t="s">
        <v>17</v>
      </c>
      <c r="C298" s="3">
        <v>98.394499999999994</v>
      </c>
    </row>
    <row r="299" spans="1:3" s="1" customFormat="1" ht="19.75" customHeight="1" x14ac:dyDescent="0.25">
      <c r="A299" s="7">
        <f>2022</f>
        <v>2022</v>
      </c>
      <c r="B299" s="2" t="s">
        <v>18</v>
      </c>
      <c r="C299" s="4">
        <v>1868.0291</v>
      </c>
    </row>
    <row r="300" spans="1:3" s="1" customFormat="1" ht="19.75" customHeight="1" x14ac:dyDescent="0.25">
      <c r="A300" s="7">
        <f>2022</f>
        <v>2022</v>
      </c>
      <c r="B300" s="2" t="s">
        <v>19</v>
      </c>
      <c r="C300" s="3">
        <v>27115.9503</v>
      </c>
    </row>
    <row r="301" spans="1:3" s="1" customFormat="1" ht="19.75" customHeight="1" x14ac:dyDescent="0.25">
      <c r="A301" s="7">
        <f>2022</f>
        <v>2022</v>
      </c>
      <c r="B301" s="2" t="s">
        <v>20</v>
      </c>
      <c r="C301" s="4">
        <v>15910.8177</v>
      </c>
    </row>
    <row r="302" spans="1:3" s="1" customFormat="1" ht="19.75" customHeight="1" x14ac:dyDescent="0.25">
      <c r="A302" s="7">
        <f>2022</f>
        <v>2022</v>
      </c>
      <c r="B302" s="2" t="s">
        <v>21</v>
      </c>
      <c r="C302" s="3">
        <v>5055.8868590000002</v>
      </c>
    </row>
    <row r="303" spans="1:3" s="1" customFormat="1" ht="19.75" customHeight="1" x14ac:dyDescent="0.25">
      <c r="A303" s="7">
        <f>2022</f>
        <v>2022</v>
      </c>
      <c r="B303" s="2" t="s">
        <v>22</v>
      </c>
      <c r="C303" s="4">
        <v>3138.2618029999999</v>
      </c>
    </row>
    <row r="304" spans="1:3" s="1" customFormat="1" ht="19.75" customHeight="1" x14ac:dyDescent="0.25">
      <c r="A304" s="7">
        <f>2022</f>
        <v>2022</v>
      </c>
      <c r="B304" s="2" t="s">
        <v>23</v>
      </c>
      <c r="C304" s="3">
        <v>8164.6299390000004</v>
      </c>
    </row>
    <row r="305" spans="1:3" s="1" customFormat="1" ht="19.75" customHeight="1" x14ac:dyDescent="0.25">
      <c r="A305" s="7">
        <f>2022</f>
        <v>2022</v>
      </c>
      <c r="B305" s="2" t="s">
        <v>24</v>
      </c>
      <c r="C305" s="4">
        <v>560.89750000000004</v>
      </c>
    </row>
    <row r="306" spans="1:3" s="1" customFormat="1" ht="19.75" customHeight="1" x14ac:dyDescent="0.25">
      <c r="A306" s="7">
        <f>2022</f>
        <v>2022</v>
      </c>
      <c r="B306" s="2" t="s">
        <v>25</v>
      </c>
      <c r="C306" s="3">
        <v>1125.3761</v>
      </c>
    </row>
    <row r="307" spans="1:3" s="1" customFormat="1" ht="19.75" customHeight="1" x14ac:dyDescent="0.25">
      <c r="A307" s="7">
        <f>2022</f>
        <v>2022</v>
      </c>
      <c r="B307" s="2" t="s">
        <v>26</v>
      </c>
      <c r="C307" s="4">
        <v>956.94344899999999</v>
      </c>
    </row>
    <row r="308" spans="1:3" s="1" customFormat="1" ht="19.75" customHeight="1" x14ac:dyDescent="0.25">
      <c r="A308" s="7">
        <f>2022</f>
        <v>2022</v>
      </c>
      <c r="B308" s="2" t="s">
        <v>27</v>
      </c>
      <c r="C308" s="3">
        <v>3478.1821920000002</v>
      </c>
    </row>
    <row r="309" spans="1:3" s="1" customFormat="1" ht="19.75" customHeight="1" x14ac:dyDescent="0.25">
      <c r="A309" s="7">
        <f>2022</f>
        <v>2022</v>
      </c>
      <c r="B309" s="2" t="s">
        <v>28</v>
      </c>
      <c r="C309" s="4">
        <v>71.370099999999994</v>
      </c>
    </row>
    <row r="310" spans="1:3" s="1" customFormat="1" ht="19.75" customHeight="1" x14ac:dyDescent="0.25">
      <c r="A310" s="7">
        <f>2022</f>
        <v>2022</v>
      </c>
      <c r="B310" s="2" t="s">
        <v>29</v>
      </c>
      <c r="C310" s="3">
        <v>2820.0477000000001</v>
      </c>
    </row>
    <row r="311" spans="1:3" s="1" customFormat="1" ht="19.75" customHeight="1" x14ac:dyDescent="0.25">
      <c r="A311" s="7">
        <f>2022</f>
        <v>2022</v>
      </c>
      <c r="B311" s="2" t="s">
        <v>30</v>
      </c>
      <c r="C311" s="4">
        <v>1202.587</v>
      </c>
    </row>
    <row r="312" spans="1:3" s="1" customFormat="1" ht="19.75" customHeight="1" x14ac:dyDescent="0.25">
      <c r="A312" s="7">
        <f>2022</f>
        <v>2022</v>
      </c>
      <c r="B312" s="2" t="s">
        <v>31</v>
      </c>
      <c r="C312" s="3">
        <v>694.54330000000004</v>
      </c>
    </row>
    <row r="313" spans="1:3" s="1" customFormat="1" ht="19.75" customHeight="1" x14ac:dyDescent="0.25">
      <c r="A313" s="7">
        <f>2022</f>
        <v>2022</v>
      </c>
      <c r="B313" s="2" t="s">
        <v>32</v>
      </c>
      <c r="C313" s="4">
        <v>1849.7165</v>
      </c>
    </row>
    <row r="314" spans="1:3" s="1" customFormat="1" ht="19.75" customHeight="1" x14ac:dyDescent="0.25">
      <c r="A314" s="7">
        <f>2022</f>
        <v>2022</v>
      </c>
      <c r="B314" s="2" t="s">
        <v>93</v>
      </c>
      <c r="C314" s="3">
        <v>6.9588999999999999</v>
      </c>
    </row>
    <row r="315" spans="1:3" s="1" customFormat="1" ht="19.75" customHeight="1" x14ac:dyDescent="0.25">
      <c r="A315" s="7">
        <f>2022</f>
        <v>2022</v>
      </c>
      <c r="B315" s="2" t="s">
        <v>98</v>
      </c>
      <c r="C315" s="4">
        <v>0.70860000000000001</v>
      </c>
    </row>
    <row r="316" spans="1:3" s="1" customFormat="1" ht="19.75" customHeight="1" x14ac:dyDescent="0.25">
      <c r="A316" s="7">
        <f>2022</f>
        <v>2022</v>
      </c>
      <c r="B316" s="2" t="s">
        <v>34</v>
      </c>
      <c r="C316" s="3">
        <v>106.4646</v>
      </c>
    </row>
    <row r="317" spans="1:3" s="1" customFormat="1" ht="19.75" customHeight="1" x14ac:dyDescent="0.25">
      <c r="A317" s="7">
        <f>2022</f>
        <v>2022</v>
      </c>
      <c r="B317" s="2" t="s">
        <v>35</v>
      </c>
      <c r="C317" s="4">
        <v>40.541200000000003</v>
      </c>
    </row>
    <row r="318" spans="1:3" s="1" customFormat="1" ht="19.75" customHeight="1" x14ac:dyDescent="0.25">
      <c r="A318" s="7">
        <f>2022</f>
        <v>2022</v>
      </c>
      <c r="B318" s="2" t="s">
        <v>36</v>
      </c>
      <c r="C318" s="3">
        <v>767.16279999999995</v>
      </c>
    </row>
    <row r="319" spans="1:3" s="1" customFormat="1" ht="19.75" customHeight="1" x14ac:dyDescent="0.25">
      <c r="A319" s="7">
        <f>2022</f>
        <v>2022</v>
      </c>
      <c r="B319" s="2" t="s">
        <v>37</v>
      </c>
      <c r="C319" s="4">
        <v>10.210058999999999</v>
      </c>
    </row>
    <row r="320" spans="1:3" s="1" customFormat="1" ht="19.75" customHeight="1" x14ac:dyDescent="0.25">
      <c r="A320" s="7">
        <f>2022</f>
        <v>2022</v>
      </c>
      <c r="B320" s="2" t="s">
        <v>38</v>
      </c>
      <c r="C320" s="3">
        <v>17.70928</v>
      </c>
    </row>
    <row r="321" spans="1:3" s="1" customFormat="1" ht="19.75" customHeight="1" x14ac:dyDescent="0.25">
      <c r="A321" s="7">
        <f>2022</f>
        <v>2022</v>
      </c>
      <c r="B321" s="2" t="s">
        <v>39</v>
      </c>
      <c r="C321" s="4">
        <v>-0.17460000000000001</v>
      </c>
    </row>
    <row r="322" spans="1:3" s="1" customFormat="1" ht="19.75" customHeight="1" x14ac:dyDescent="0.25">
      <c r="A322" s="7">
        <f>2022</f>
        <v>2022</v>
      </c>
      <c r="B322" s="2" t="s">
        <v>40</v>
      </c>
      <c r="C322" s="3">
        <v>-46.865000000000002</v>
      </c>
    </row>
    <row r="323" spans="1:3" s="1" customFormat="1" ht="19.75" customHeight="1" x14ac:dyDescent="0.25">
      <c r="A323" s="7">
        <f>2022</f>
        <v>2022</v>
      </c>
      <c r="B323" s="2" t="s">
        <v>41</v>
      </c>
      <c r="C323" s="4">
        <v>616.70330000000001</v>
      </c>
    </row>
    <row r="324" spans="1:3" s="1" customFormat="1" ht="19.75" customHeight="1" x14ac:dyDescent="0.25">
      <c r="A324" s="7">
        <f>2022</f>
        <v>2022</v>
      </c>
      <c r="B324" s="2" t="s">
        <v>42</v>
      </c>
      <c r="C324" s="3">
        <v>403.65980000000002</v>
      </c>
    </row>
    <row r="325" spans="1:3" s="1" customFormat="1" ht="19.75" customHeight="1" x14ac:dyDescent="0.25">
      <c r="A325" s="7">
        <f>2022</f>
        <v>2022</v>
      </c>
      <c r="B325" s="2" t="s">
        <v>43</v>
      </c>
      <c r="C325" s="4">
        <v>3535.3237210000002</v>
      </c>
    </row>
    <row r="326" spans="1:3" s="1" customFormat="1" ht="19.75" customHeight="1" x14ac:dyDescent="0.25">
      <c r="A326" s="7">
        <f>2022</f>
        <v>2022</v>
      </c>
      <c r="B326" s="2" t="s">
        <v>44</v>
      </c>
      <c r="C326" s="3">
        <v>178.9426</v>
      </c>
    </row>
    <row r="327" spans="1:3" s="1" customFormat="1" ht="19.75" customHeight="1" x14ac:dyDescent="0.25">
      <c r="A327" s="7">
        <f>2022</f>
        <v>2022</v>
      </c>
      <c r="B327" s="2" t="s">
        <v>45</v>
      </c>
      <c r="C327" s="4">
        <v>67.632261</v>
      </c>
    </row>
    <row r="328" spans="1:3" s="1" customFormat="1" ht="19.75" customHeight="1" x14ac:dyDescent="0.25">
      <c r="A328" s="7">
        <f>2022</f>
        <v>2022</v>
      </c>
      <c r="B328" s="2" t="s">
        <v>94</v>
      </c>
      <c r="C328" s="3">
        <v>-22.147400000000001</v>
      </c>
    </row>
    <row r="329" spans="1:3" s="1" customFormat="1" ht="19.75" customHeight="1" x14ac:dyDescent="0.25">
      <c r="A329" s="7">
        <f>2022</f>
        <v>2022</v>
      </c>
      <c r="B329" s="2" t="s">
        <v>46</v>
      </c>
      <c r="C329" s="4">
        <v>4.8442999999999996</v>
      </c>
    </row>
    <row r="330" spans="1:3" s="1" customFormat="1" ht="19.75" customHeight="1" x14ac:dyDescent="0.25">
      <c r="A330" s="7">
        <f>2022</f>
        <v>2022</v>
      </c>
      <c r="B330" s="2" t="s">
        <v>47</v>
      </c>
      <c r="C330" s="3">
        <v>73.147499999999994</v>
      </c>
    </row>
    <row r="331" spans="1:3" s="1" customFormat="1" ht="19.75" customHeight="1" x14ac:dyDescent="0.25">
      <c r="A331" s="7">
        <f>2022</f>
        <v>2022</v>
      </c>
      <c r="B331" s="2" t="s">
        <v>48</v>
      </c>
      <c r="C331" s="4">
        <v>1895.2497000000001</v>
      </c>
    </row>
    <row r="332" spans="1:3" s="1" customFormat="1" ht="19.75" customHeight="1" x14ac:dyDescent="0.25">
      <c r="A332" s="7">
        <f>2022</f>
        <v>2022</v>
      </c>
      <c r="B332" s="2" t="s">
        <v>49</v>
      </c>
      <c r="C332" s="3">
        <v>4.1105999999999998</v>
      </c>
    </row>
    <row r="333" spans="1:3" s="1" customFormat="1" ht="19.75" customHeight="1" x14ac:dyDescent="0.25">
      <c r="A333" s="7">
        <f>2022</f>
        <v>2022</v>
      </c>
      <c r="B333" s="2" t="s">
        <v>50</v>
      </c>
      <c r="C333" s="4">
        <v>26.377500000000001</v>
      </c>
    </row>
    <row r="334" spans="1:3" s="1" customFormat="1" ht="19.75" customHeight="1" x14ac:dyDescent="0.25">
      <c r="A334" s="7">
        <f>2022</f>
        <v>2022</v>
      </c>
      <c r="B334" s="2" t="s">
        <v>51</v>
      </c>
      <c r="C334" s="3">
        <v>167.6122</v>
      </c>
    </row>
    <row r="335" spans="1:3" s="1" customFormat="1" ht="19.75" customHeight="1" x14ac:dyDescent="0.25">
      <c r="A335" s="7">
        <f>2022</f>
        <v>2022</v>
      </c>
      <c r="B335" s="2" t="s">
        <v>52</v>
      </c>
      <c r="C335" s="4">
        <v>-1.9118999999999999</v>
      </c>
    </row>
    <row r="336" spans="1:3" s="1" customFormat="1" ht="19.75" customHeight="1" x14ac:dyDescent="0.25">
      <c r="A336" s="7">
        <f>2022</f>
        <v>2022</v>
      </c>
      <c r="B336" s="2" t="s">
        <v>99</v>
      </c>
      <c r="C336" s="3">
        <v>2654.8526999999999</v>
      </c>
    </row>
    <row r="337" spans="1:3" s="1" customFormat="1" ht="19.75" customHeight="1" x14ac:dyDescent="0.25">
      <c r="A337" s="7">
        <f>2022</f>
        <v>2022</v>
      </c>
      <c r="B337" s="2" t="s">
        <v>53</v>
      </c>
      <c r="C337" s="4">
        <v>20.196300000000001</v>
      </c>
    </row>
    <row r="338" spans="1:3" s="1" customFormat="1" ht="19.75" customHeight="1" x14ac:dyDescent="0.25">
      <c r="A338" s="7">
        <f>2022</f>
        <v>2022</v>
      </c>
      <c r="B338" s="2" t="s">
        <v>54</v>
      </c>
      <c r="C338" s="3">
        <v>9.4481999999999999</v>
      </c>
    </row>
    <row r="339" spans="1:3" s="1" customFormat="1" ht="19.75" customHeight="1" x14ac:dyDescent="0.25">
      <c r="A339" s="7">
        <f>2022</f>
        <v>2022</v>
      </c>
      <c r="B339" s="2" t="s">
        <v>55</v>
      </c>
      <c r="C339" s="4">
        <v>1252.7536</v>
      </c>
    </row>
    <row r="340" spans="1:3" s="1" customFormat="1" ht="19.75" customHeight="1" x14ac:dyDescent="0.25">
      <c r="A340" s="7">
        <f>2022</f>
        <v>2022</v>
      </c>
      <c r="B340" s="2" t="s">
        <v>56</v>
      </c>
      <c r="C340" s="3">
        <v>37.240119999999997</v>
      </c>
    </row>
    <row r="341" spans="1:3" s="1" customFormat="1" ht="19.75" customHeight="1" x14ac:dyDescent="0.25">
      <c r="A341" s="7">
        <f>2022</f>
        <v>2022</v>
      </c>
      <c r="B341" s="2" t="s">
        <v>57</v>
      </c>
      <c r="C341" s="4">
        <v>33.820999999999998</v>
      </c>
    </row>
    <row r="342" spans="1:3" s="1" customFormat="1" ht="19.75" customHeight="1" x14ac:dyDescent="0.25">
      <c r="A342" s="7">
        <f>2022</f>
        <v>2022</v>
      </c>
      <c r="B342" s="2" t="s">
        <v>58</v>
      </c>
      <c r="C342" s="3">
        <v>9.2250999999999994</v>
      </c>
    </row>
    <row r="343" spans="1:3" s="1" customFormat="1" ht="19.75" customHeight="1" x14ac:dyDescent="0.25">
      <c r="A343" s="7">
        <f>2022</f>
        <v>2022</v>
      </c>
      <c r="B343" s="2" t="s">
        <v>95</v>
      </c>
      <c r="C343" s="4">
        <v>-8.2000000000000003E-2</v>
      </c>
    </row>
    <row r="344" spans="1:3" s="1" customFormat="1" ht="19.75" customHeight="1" x14ac:dyDescent="0.25">
      <c r="A344" s="7">
        <f>2022</f>
        <v>2022</v>
      </c>
      <c r="B344" s="2" t="s">
        <v>59</v>
      </c>
      <c r="C344" s="3">
        <v>9.7309000000000001</v>
      </c>
    </row>
    <row r="345" spans="1:3" s="1" customFormat="1" ht="19.75" customHeight="1" x14ac:dyDescent="0.25">
      <c r="A345" s="7">
        <f>2022</f>
        <v>2022</v>
      </c>
      <c r="B345" s="2" t="s">
        <v>60</v>
      </c>
      <c r="C345" s="4">
        <v>204.76509999999999</v>
      </c>
    </row>
    <row r="346" spans="1:3" s="1" customFormat="1" ht="19.75" customHeight="1" x14ac:dyDescent="0.25">
      <c r="A346" s="7">
        <f>2022</f>
        <v>2022</v>
      </c>
      <c r="B346" s="2" t="s">
        <v>61</v>
      </c>
      <c r="C346" s="3">
        <v>280.23050000000001</v>
      </c>
    </row>
    <row r="347" spans="1:3" s="1" customFormat="1" ht="19.75" customHeight="1" x14ac:dyDescent="0.25">
      <c r="A347" s="7">
        <f>2022</f>
        <v>2022</v>
      </c>
      <c r="B347" s="2" t="s">
        <v>64</v>
      </c>
      <c r="C347" s="4">
        <v>-17.684850999999998</v>
      </c>
    </row>
    <row r="348" spans="1:3" s="1" customFormat="1" ht="19.75" customHeight="1" x14ac:dyDescent="0.25">
      <c r="A348" s="7">
        <f>2022</f>
        <v>2022</v>
      </c>
      <c r="B348" s="2" t="s">
        <v>65</v>
      </c>
      <c r="C348" s="3">
        <v>25.617699999999999</v>
      </c>
    </row>
    <row r="349" spans="1:3" s="1" customFormat="1" ht="19.75" customHeight="1" x14ac:dyDescent="0.25">
      <c r="A349" s="7">
        <f>2022</f>
        <v>2022</v>
      </c>
      <c r="B349" s="2" t="s">
        <v>66</v>
      </c>
      <c r="C349" s="4">
        <v>59.837487000000003</v>
      </c>
    </row>
    <row r="350" spans="1:3" s="1" customFormat="1" ht="19.75" customHeight="1" x14ac:dyDescent="0.25">
      <c r="A350" s="7">
        <f>2022</f>
        <v>2022</v>
      </c>
      <c r="B350" s="2" t="s">
        <v>67</v>
      </c>
      <c r="C350" s="3">
        <v>36.626600000000003</v>
      </c>
    </row>
    <row r="351" spans="1:3" s="1" customFormat="1" ht="19.75" customHeight="1" x14ac:dyDescent="0.25">
      <c r="A351" s="7">
        <f>2022</f>
        <v>2022</v>
      </c>
      <c r="B351" s="2" t="s">
        <v>68</v>
      </c>
      <c r="C351" s="4">
        <v>92.995599999999996</v>
      </c>
    </row>
    <row r="352" spans="1:3" s="1" customFormat="1" ht="19.75" customHeight="1" x14ac:dyDescent="0.25">
      <c r="A352" s="7">
        <f>2022</f>
        <v>2022</v>
      </c>
      <c r="B352" s="2" t="s">
        <v>69</v>
      </c>
      <c r="C352" s="3">
        <v>49.204099999999997</v>
      </c>
    </row>
    <row r="353" spans="1:3" s="1" customFormat="1" ht="19.75" customHeight="1" x14ac:dyDescent="0.25">
      <c r="A353" s="7">
        <f>2022</f>
        <v>2022</v>
      </c>
      <c r="B353" s="2" t="s">
        <v>96</v>
      </c>
      <c r="C353" s="4">
        <v>3.7885</v>
      </c>
    </row>
    <row r="354" spans="1:3" s="1" customFormat="1" ht="19.75" customHeight="1" x14ac:dyDescent="0.25">
      <c r="A354" s="7">
        <f>2022</f>
        <v>2022</v>
      </c>
      <c r="B354" s="2" t="s">
        <v>71</v>
      </c>
      <c r="C354" s="3">
        <v>1648.7387900000001</v>
      </c>
    </row>
    <row r="355" spans="1:3" s="1" customFormat="1" ht="19.75" customHeight="1" x14ac:dyDescent="0.25">
      <c r="A355" s="7">
        <f>2022</f>
        <v>2022</v>
      </c>
      <c r="B355" s="2" t="s">
        <v>72</v>
      </c>
      <c r="C355" s="4">
        <v>303.06135799999998</v>
      </c>
    </row>
    <row r="356" spans="1:3" s="1" customFormat="1" ht="19.75" customHeight="1" x14ac:dyDescent="0.25">
      <c r="A356" s="7">
        <f>2022</f>
        <v>2022</v>
      </c>
      <c r="B356" s="2" t="s">
        <v>75</v>
      </c>
      <c r="C356" s="3">
        <v>6.6048</v>
      </c>
    </row>
    <row r="357" spans="1:3" s="1" customFormat="1" ht="19.75" customHeight="1" x14ac:dyDescent="0.25">
      <c r="A357" s="7">
        <f>2022</f>
        <v>2022</v>
      </c>
      <c r="B357" s="2" t="s">
        <v>76</v>
      </c>
      <c r="C357" s="4">
        <v>27.467600000000001</v>
      </c>
    </row>
    <row r="358" spans="1:3" s="1" customFormat="1" ht="19.75" customHeight="1" x14ac:dyDescent="0.25">
      <c r="A358" s="7">
        <f>2022</f>
        <v>2022</v>
      </c>
      <c r="B358" s="2" t="s">
        <v>100</v>
      </c>
      <c r="C358" s="3">
        <v>44.255299999999998</v>
      </c>
    </row>
    <row r="359" spans="1:3" s="1" customFormat="1" ht="19.75" customHeight="1" x14ac:dyDescent="0.25">
      <c r="A359" s="7">
        <f>2022</f>
        <v>2022</v>
      </c>
      <c r="B359" s="2" t="s">
        <v>78</v>
      </c>
      <c r="C359" s="4">
        <v>685.21054400000003</v>
      </c>
    </row>
    <row r="360" spans="1:3" s="1" customFormat="1" ht="19.75" customHeight="1" x14ac:dyDescent="0.25">
      <c r="A360" s="7">
        <f>2022</f>
        <v>2022</v>
      </c>
      <c r="B360" s="2" t="s">
        <v>79</v>
      </c>
      <c r="C360" s="3">
        <v>50.645099999999999</v>
      </c>
    </row>
    <row r="361" spans="1:3" s="1" customFormat="1" ht="19.75" customHeight="1" x14ac:dyDescent="0.25">
      <c r="A361" s="7">
        <f>2022</f>
        <v>2022</v>
      </c>
      <c r="B361" s="2" t="s">
        <v>80</v>
      </c>
      <c r="C361" s="4">
        <v>591.21510000000001</v>
      </c>
    </row>
    <row r="362" spans="1:3" s="1" customFormat="1" ht="19.75" customHeight="1" x14ac:dyDescent="0.25">
      <c r="A362" s="7">
        <f>2022</f>
        <v>2022</v>
      </c>
      <c r="B362" s="2" t="s">
        <v>81</v>
      </c>
      <c r="C362" s="3">
        <v>437.11880000000002</v>
      </c>
    </row>
    <row r="363" spans="1:3" s="1" customFormat="1" ht="19.75" customHeight="1" x14ac:dyDescent="0.25">
      <c r="A363" s="7">
        <f>2022</f>
        <v>2022</v>
      </c>
      <c r="B363" s="2" t="s">
        <v>97</v>
      </c>
      <c r="C363" s="4">
        <v>422.20230700000002</v>
      </c>
    </row>
    <row r="364" spans="1:3" s="1" customFormat="1" ht="19.75" customHeight="1" x14ac:dyDescent="0.25">
      <c r="A364" s="7">
        <f>2022</f>
        <v>2022</v>
      </c>
      <c r="B364" s="2" t="s">
        <v>82</v>
      </c>
      <c r="C364" s="3">
        <v>569.32060000000001</v>
      </c>
    </row>
    <row r="365" spans="1:3" s="1" customFormat="1" ht="19.75" customHeight="1" x14ac:dyDescent="0.25">
      <c r="A365" s="7">
        <f>2022</f>
        <v>2022</v>
      </c>
      <c r="B365" s="2" t="s">
        <v>83</v>
      </c>
      <c r="C365" s="4">
        <v>187.46549999999999</v>
      </c>
    </row>
    <row r="366" spans="1:3" s="1" customFormat="1" ht="19.75" customHeight="1" x14ac:dyDescent="0.25">
      <c r="A366" s="7">
        <f>2022</f>
        <v>2022</v>
      </c>
      <c r="B366" s="2" t="s">
        <v>84</v>
      </c>
      <c r="C366" s="3">
        <v>3.9432</v>
      </c>
    </row>
    <row r="367" spans="1:3" s="1" customFormat="1" ht="19.75" customHeight="1" x14ac:dyDescent="0.25">
      <c r="A367" s="7">
        <f>2022</f>
        <v>2022</v>
      </c>
      <c r="B367" s="2" t="s">
        <v>85</v>
      </c>
      <c r="C367" s="4">
        <v>357.94170000000003</v>
      </c>
    </row>
    <row r="368" spans="1:3" s="1" customFormat="1" ht="19.75" customHeight="1" x14ac:dyDescent="0.25">
      <c r="A368" s="7">
        <f>2022</f>
        <v>2022</v>
      </c>
      <c r="B368" s="2" t="s">
        <v>86</v>
      </c>
      <c r="C368" s="3">
        <v>1051.6884</v>
      </c>
    </row>
    <row r="369" spans="1:3" s="1" customFormat="1" ht="19.75" customHeight="1" x14ac:dyDescent="0.25">
      <c r="A369" s="7">
        <f>2022</f>
        <v>2022</v>
      </c>
      <c r="B369" s="2" t="s">
        <v>88</v>
      </c>
      <c r="C369" s="4">
        <v>450.47239999999999</v>
      </c>
    </row>
    <row r="370" spans="1:3" s="1" customFormat="1" ht="19.75" customHeight="1" x14ac:dyDescent="0.25">
      <c r="A370" s="7">
        <f>2022</f>
        <v>2022</v>
      </c>
      <c r="B370" s="2" t="s">
        <v>89</v>
      </c>
      <c r="C370" s="3">
        <v>1.9626999999999999</v>
      </c>
    </row>
    <row r="371" spans="1:3" s="1" customFormat="1" ht="19.75" customHeight="1" x14ac:dyDescent="0.25">
      <c r="A371" s="7">
        <f>2022</f>
        <v>2022</v>
      </c>
      <c r="B371" s="2" t="s">
        <v>90</v>
      </c>
      <c r="C371" s="6" t="s">
        <v>77</v>
      </c>
    </row>
    <row r="372" spans="1:3" s="1" customFormat="1" ht="19.75" customHeight="1" x14ac:dyDescent="0.25">
      <c r="A372" s="7">
        <f>2022</f>
        <v>2022</v>
      </c>
      <c r="B372" s="2" t="s">
        <v>91</v>
      </c>
      <c r="C372" s="3">
        <v>-9.8478999999999992</v>
      </c>
    </row>
    <row r="373" spans="1:3" s="1" customFormat="1" ht="19.75" customHeight="1" x14ac:dyDescent="0.25">
      <c r="A373" s="7">
        <f>2022</f>
        <v>2022</v>
      </c>
      <c r="B373" s="2" t="s">
        <v>92</v>
      </c>
      <c r="C373" s="4">
        <v>10.877700000000001</v>
      </c>
    </row>
    <row r="374" spans="1:3" s="1" customFormat="1" ht="19.75" customHeight="1" x14ac:dyDescent="0.25">
      <c r="A374" s="7">
        <f>2021</f>
        <v>2021</v>
      </c>
      <c r="B374" s="2" t="s">
        <v>0</v>
      </c>
      <c r="C374" s="3">
        <v>20370.380099999998</v>
      </c>
    </row>
    <row r="375" spans="1:3" s="1" customFormat="1" ht="19.75" customHeight="1" x14ac:dyDescent="0.25">
      <c r="A375" s="7">
        <f>2021</f>
        <v>2021</v>
      </c>
      <c r="B375" s="2" t="s">
        <v>1</v>
      </c>
      <c r="C375" s="4">
        <v>8112.2960000000003</v>
      </c>
    </row>
    <row r="376" spans="1:3" s="1" customFormat="1" ht="19.75" customHeight="1" x14ac:dyDescent="0.25">
      <c r="A376" s="7">
        <f>2021</f>
        <v>2021</v>
      </c>
      <c r="B376" s="2" t="s">
        <v>2</v>
      </c>
      <c r="C376" s="3">
        <v>3409.8341</v>
      </c>
    </row>
    <row r="377" spans="1:3" s="1" customFormat="1" ht="19.75" customHeight="1" x14ac:dyDescent="0.25">
      <c r="A377" s="7">
        <f>2021</f>
        <v>2021</v>
      </c>
      <c r="B377" s="2" t="s">
        <v>3</v>
      </c>
      <c r="C377" s="4">
        <v>17131.3881</v>
      </c>
    </row>
    <row r="378" spans="1:3" s="1" customFormat="1" ht="19.75" customHeight="1" x14ac:dyDescent="0.25">
      <c r="A378" s="7">
        <f>2021</f>
        <v>2021</v>
      </c>
      <c r="B378" s="2" t="s">
        <v>4</v>
      </c>
      <c r="C378" s="3">
        <v>5466.0689000000002</v>
      </c>
    </row>
    <row r="379" spans="1:3" s="1" customFormat="1" ht="19.75" customHeight="1" x14ac:dyDescent="0.25">
      <c r="A379" s="7">
        <f>2021</f>
        <v>2021</v>
      </c>
      <c r="B379" s="2" t="s">
        <v>5</v>
      </c>
      <c r="C379" s="4">
        <v>7961.9066000000003</v>
      </c>
    </row>
    <row r="380" spans="1:3" s="1" customFormat="1" ht="19.75" customHeight="1" x14ac:dyDescent="0.25">
      <c r="A380" s="7">
        <f>2021</f>
        <v>2021</v>
      </c>
      <c r="B380" s="2" t="s">
        <v>6</v>
      </c>
      <c r="C380" s="3">
        <v>5064.3352999999997</v>
      </c>
    </row>
    <row r="381" spans="1:3" s="1" customFormat="1" ht="19.75" customHeight="1" x14ac:dyDescent="0.25">
      <c r="A381" s="7">
        <f>2021</f>
        <v>2021</v>
      </c>
      <c r="B381" s="2" t="s">
        <v>7</v>
      </c>
      <c r="C381" s="4">
        <v>3504.9328999999998</v>
      </c>
    </row>
    <row r="382" spans="1:3" s="1" customFormat="1" ht="19.75" customHeight="1" x14ac:dyDescent="0.25">
      <c r="A382" s="7">
        <f>2021</f>
        <v>2021</v>
      </c>
      <c r="B382" s="2" t="s">
        <v>8</v>
      </c>
      <c r="C382" s="3">
        <v>20137.560099999999</v>
      </c>
    </row>
    <row r="383" spans="1:3" s="1" customFormat="1" ht="19.75" customHeight="1" x14ac:dyDescent="0.25">
      <c r="A383" s="7">
        <f>2021</f>
        <v>2021</v>
      </c>
      <c r="B383" s="2" t="s">
        <v>9</v>
      </c>
      <c r="C383" s="4">
        <v>51143.6823</v>
      </c>
    </row>
    <row r="384" spans="1:3" s="1" customFormat="1" ht="19.75" customHeight="1" x14ac:dyDescent="0.25">
      <c r="A384" s="7">
        <f>2021</f>
        <v>2021</v>
      </c>
      <c r="B384" s="2" t="s">
        <v>10</v>
      </c>
      <c r="C384" s="3">
        <v>3982.0297</v>
      </c>
    </row>
    <row r="385" spans="1:3" s="1" customFormat="1" ht="19.75" customHeight="1" x14ac:dyDescent="0.25">
      <c r="A385" s="7">
        <f>2021</f>
        <v>2021</v>
      </c>
      <c r="B385" s="2" t="s">
        <v>11</v>
      </c>
      <c r="C385" s="4">
        <v>16760.962200000002</v>
      </c>
    </row>
    <row r="386" spans="1:3" s="1" customFormat="1" ht="19.75" customHeight="1" x14ac:dyDescent="0.25">
      <c r="A386" s="7">
        <f>2021</f>
        <v>2021</v>
      </c>
      <c r="B386" s="2" t="s">
        <v>12</v>
      </c>
      <c r="C386" s="3">
        <v>16539.070599999999</v>
      </c>
    </row>
    <row r="387" spans="1:3" s="1" customFormat="1" ht="19.75" customHeight="1" x14ac:dyDescent="0.25">
      <c r="A387" s="7">
        <f>2021</f>
        <v>2021</v>
      </c>
      <c r="B387" s="2" t="s">
        <v>13</v>
      </c>
      <c r="C387" s="4">
        <v>4563.2675220000001</v>
      </c>
    </row>
    <row r="388" spans="1:3" s="1" customFormat="1" ht="19.75" customHeight="1" x14ac:dyDescent="0.25">
      <c r="A388" s="7">
        <f>2021</f>
        <v>2021</v>
      </c>
      <c r="B388" s="2" t="s">
        <v>14</v>
      </c>
      <c r="C388" s="3">
        <v>875.01779999999997</v>
      </c>
    </row>
    <row r="389" spans="1:3" s="1" customFormat="1" ht="19.75" customHeight="1" x14ac:dyDescent="0.25">
      <c r="A389" s="7">
        <f>2021</f>
        <v>2021</v>
      </c>
      <c r="B389" s="2" t="s">
        <v>15</v>
      </c>
      <c r="C389" s="4">
        <v>297.12270000000001</v>
      </c>
    </row>
    <row r="390" spans="1:3" s="1" customFormat="1" ht="19.75" customHeight="1" x14ac:dyDescent="0.25">
      <c r="A390" s="7">
        <f>2021</f>
        <v>2021</v>
      </c>
      <c r="B390" s="2" t="s">
        <v>16</v>
      </c>
      <c r="C390" s="3">
        <v>550.02549999999997</v>
      </c>
    </row>
    <row r="391" spans="1:3" s="1" customFormat="1" ht="19.75" customHeight="1" x14ac:dyDescent="0.25">
      <c r="A391" s="7">
        <f>2021</f>
        <v>2021</v>
      </c>
      <c r="B391" s="2" t="s">
        <v>17</v>
      </c>
      <c r="C391" s="4">
        <v>48.6447</v>
      </c>
    </row>
    <row r="392" spans="1:3" s="1" customFormat="1" ht="19.75" customHeight="1" x14ac:dyDescent="0.25">
      <c r="A392" s="7">
        <f>2021</f>
        <v>2021</v>
      </c>
      <c r="B392" s="2" t="s">
        <v>18</v>
      </c>
      <c r="C392" s="3">
        <v>2210.3932</v>
      </c>
    </row>
    <row r="393" spans="1:3" s="1" customFormat="1" ht="19.75" customHeight="1" x14ac:dyDescent="0.25">
      <c r="A393" s="7">
        <f>2021</f>
        <v>2021</v>
      </c>
      <c r="B393" s="2" t="s">
        <v>19</v>
      </c>
      <c r="C393" s="4">
        <v>26245.3079</v>
      </c>
    </row>
    <row r="394" spans="1:3" s="1" customFormat="1" ht="19.75" customHeight="1" x14ac:dyDescent="0.25">
      <c r="A394" s="7">
        <f>2021</f>
        <v>2021</v>
      </c>
      <c r="B394" s="2" t="s">
        <v>20</v>
      </c>
      <c r="C394" s="3">
        <v>20204.442899999998</v>
      </c>
    </row>
    <row r="395" spans="1:3" s="1" customFormat="1" ht="19.75" customHeight="1" x14ac:dyDescent="0.25">
      <c r="A395" s="7">
        <f>2021</f>
        <v>2021</v>
      </c>
      <c r="B395" s="2" t="s">
        <v>21</v>
      </c>
      <c r="C395" s="4">
        <v>5675.6328869999998</v>
      </c>
    </row>
    <row r="396" spans="1:3" s="1" customFormat="1" ht="19.75" customHeight="1" x14ac:dyDescent="0.25">
      <c r="A396" s="7">
        <f>2021</f>
        <v>2021</v>
      </c>
      <c r="B396" s="2" t="s">
        <v>22</v>
      </c>
      <c r="C396" s="3">
        <v>2046.027908</v>
      </c>
    </row>
    <row r="397" spans="1:3" s="1" customFormat="1" ht="19.75" customHeight="1" x14ac:dyDescent="0.25">
      <c r="A397" s="7">
        <f>2021</f>
        <v>2021</v>
      </c>
      <c r="B397" s="2" t="s">
        <v>23</v>
      </c>
      <c r="C397" s="4">
        <v>8890.2814999999991</v>
      </c>
    </row>
    <row r="398" spans="1:3" s="1" customFormat="1" ht="19.75" customHeight="1" x14ac:dyDescent="0.25">
      <c r="A398" s="7">
        <f>2021</f>
        <v>2021</v>
      </c>
      <c r="B398" s="2" t="s">
        <v>24</v>
      </c>
      <c r="C398" s="3">
        <v>1152.1945000000001</v>
      </c>
    </row>
    <row r="399" spans="1:3" s="1" customFormat="1" ht="19.75" customHeight="1" x14ac:dyDescent="0.25">
      <c r="A399" s="7">
        <f>2021</f>
        <v>2021</v>
      </c>
      <c r="B399" s="2" t="s">
        <v>25</v>
      </c>
      <c r="C399" s="4">
        <v>1425.711</v>
      </c>
    </row>
    <row r="400" spans="1:3" s="1" customFormat="1" ht="19.75" customHeight="1" x14ac:dyDescent="0.25">
      <c r="A400" s="7">
        <f>2021</f>
        <v>2021</v>
      </c>
      <c r="B400" s="2" t="s">
        <v>26</v>
      </c>
      <c r="C400" s="3">
        <v>932.1241</v>
      </c>
    </row>
    <row r="401" spans="1:3" s="1" customFormat="1" ht="19.75" customHeight="1" x14ac:dyDescent="0.25">
      <c r="A401" s="7">
        <f>2021</f>
        <v>2021</v>
      </c>
      <c r="B401" s="2" t="s">
        <v>27</v>
      </c>
      <c r="C401" s="4">
        <v>5249.8615380000001</v>
      </c>
    </row>
    <row r="402" spans="1:3" s="1" customFormat="1" ht="19.75" customHeight="1" x14ac:dyDescent="0.25">
      <c r="A402" s="7">
        <f>2021</f>
        <v>2021</v>
      </c>
      <c r="B402" s="2" t="s">
        <v>28</v>
      </c>
      <c r="C402" s="3">
        <v>113.9067</v>
      </c>
    </row>
    <row r="403" spans="1:3" s="1" customFormat="1" ht="19.75" customHeight="1" x14ac:dyDescent="0.25">
      <c r="A403" s="7">
        <f>2021</f>
        <v>2021</v>
      </c>
      <c r="B403" s="2" t="s">
        <v>29</v>
      </c>
      <c r="C403" s="4">
        <v>2409.2368999999999</v>
      </c>
    </row>
    <row r="404" spans="1:3" s="1" customFormat="1" ht="19.75" customHeight="1" x14ac:dyDescent="0.25">
      <c r="A404" s="7">
        <f>2021</f>
        <v>2021</v>
      </c>
      <c r="B404" s="2" t="s">
        <v>30</v>
      </c>
      <c r="C404" s="3">
        <v>1599.6926000000001</v>
      </c>
    </row>
    <row r="405" spans="1:3" s="1" customFormat="1" ht="19.75" customHeight="1" x14ac:dyDescent="0.25">
      <c r="A405" s="7">
        <f>2021</f>
        <v>2021</v>
      </c>
      <c r="B405" s="2" t="s">
        <v>31</v>
      </c>
      <c r="C405" s="4">
        <v>598.89449999999999</v>
      </c>
    </row>
    <row r="406" spans="1:3" s="1" customFormat="1" ht="19.75" customHeight="1" x14ac:dyDescent="0.25">
      <c r="A406" s="7">
        <f>2021</f>
        <v>2021</v>
      </c>
      <c r="B406" s="2" t="s">
        <v>32</v>
      </c>
      <c r="C406" s="3">
        <v>8110.5072</v>
      </c>
    </row>
    <row r="407" spans="1:3" s="1" customFormat="1" ht="19.75" customHeight="1" x14ac:dyDescent="0.25">
      <c r="A407" s="7">
        <f>2021</f>
        <v>2021</v>
      </c>
      <c r="B407" s="2" t="s">
        <v>93</v>
      </c>
      <c r="C407" s="4">
        <v>4.5224979999999997</v>
      </c>
    </row>
    <row r="408" spans="1:3" s="1" customFormat="1" ht="19.75" customHeight="1" x14ac:dyDescent="0.25">
      <c r="A408" s="7">
        <f>2021</f>
        <v>2021</v>
      </c>
      <c r="B408" s="2" t="s">
        <v>98</v>
      </c>
      <c r="C408" s="3">
        <v>0.85760000000000003</v>
      </c>
    </row>
    <row r="409" spans="1:3" s="1" customFormat="1" ht="19.75" customHeight="1" x14ac:dyDescent="0.25">
      <c r="A409" s="7">
        <f>2021</f>
        <v>2021</v>
      </c>
      <c r="B409" s="2" t="s">
        <v>34</v>
      </c>
      <c r="C409" s="4">
        <v>260.24610000000001</v>
      </c>
    </row>
    <row r="410" spans="1:3" s="1" customFormat="1" ht="19.75" customHeight="1" x14ac:dyDescent="0.25">
      <c r="A410" s="7">
        <f>2021</f>
        <v>2021</v>
      </c>
      <c r="B410" s="2" t="s">
        <v>35</v>
      </c>
      <c r="C410" s="3">
        <v>74.446399999999997</v>
      </c>
    </row>
    <row r="411" spans="1:3" s="1" customFormat="1" ht="19.75" customHeight="1" x14ac:dyDescent="0.25">
      <c r="A411" s="7">
        <f>2021</f>
        <v>2021</v>
      </c>
      <c r="B411" s="2" t="s">
        <v>36</v>
      </c>
      <c r="C411" s="4">
        <v>949.58320000000003</v>
      </c>
    </row>
    <row r="412" spans="1:3" s="1" customFormat="1" ht="19.75" customHeight="1" x14ac:dyDescent="0.25">
      <c r="A412" s="7">
        <f>2021</f>
        <v>2021</v>
      </c>
      <c r="B412" s="2" t="s">
        <v>37</v>
      </c>
      <c r="C412" s="3">
        <v>6.1265000000000001</v>
      </c>
    </row>
    <row r="413" spans="1:3" s="1" customFormat="1" ht="19.75" customHeight="1" x14ac:dyDescent="0.25">
      <c r="A413" s="7">
        <f>2021</f>
        <v>2021</v>
      </c>
      <c r="B413" s="2" t="s">
        <v>38</v>
      </c>
      <c r="C413" s="4">
        <v>14.891500000000001</v>
      </c>
    </row>
    <row r="414" spans="1:3" s="1" customFormat="1" ht="19.75" customHeight="1" x14ac:dyDescent="0.25">
      <c r="A414" s="7">
        <f>2021</f>
        <v>2021</v>
      </c>
      <c r="B414" s="2" t="s">
        <v>39</v>
      </c>
      <c r="C414" s="3">
        <v>0.56269999999999998</v>
      </c>
    </row>
    <row r="415" spans="1:3" s="1" customFormat="1" ht="19.75" customHeight="1" x14ac:dyDescent="0.25">
      <c r="A415" s="7">
        <f>2021</f>
        <v>2021</v>
      </c>
      <c r="B415" s="2" t="s">
        <v>40</v>
      </c>
      <c r="C415" s="4">
        <v>12.323700000000001</v>
      </c>
    </row>
    <row r="416" spans="1:3" s="1" customFormat="1" ht="19.75" customHeight="1" x14ac:dyDescent="0.25">
      <c r="A416" s="7">
        <f>2021</f>
        <v>2021</v>
      </c>
      <c r="B416" s="2" t="s">
        <v>41</v>
      </c>
      <c r="C416" s="3">
        <v>571.00300000000004</v>
      </c>
    </row>
    <row r="417" spans="1:3" s="1" customFormat="1" ht="19.75" customHeight="1" x14ac:dyDescent="0.25">
      <c r="A417" s="7">
        <f>2021</f>
        <v>2021</v>
      </c>
      <c r="B417" s="2" t="s">
        <v>42</v>
      </c>
      <c r="C417" s="4">
        <v>628.64739999999995</v>
      </c>
    </row>
    <row r="418" spans="1:3" s="1" customFormat="1" ht="19.75" customHeight="1" x14ac:dyDescent="0.25">
      <c r="A418" s="7">
        <f>2021</f>
        <v>2021</v>
      </c>
      <c r="B418" s="2" t="s">
        <v>43</v>
      </c>
      <c r="C418" s="3">
        <v>3863.5658319999998</v>
      </c>
    </row>
    <row r="419" spans="1:3" s="1" customFormat="1" ht="19.75" customHeight="1" x14ac:dyDescent="0.25">
      <c r="A419" s="7">
        <f>2021</f>
        <v>2021</v>
      </c>
      <c r="B419" s="2" t="s">
        <v>44</v>
      </c>
      <c r="C419" s="4">
        <v>46.378950000000003</v>
      </c>
    </row>
    <row r="420" spans="1:3" s="1" customFormat="1" ht="19.75" customHeight="1" x14ac:dyDescent="0.25">
      <c r="A420" s="7">
        <f>2021</f>
        <v>2021</v>
      </c>
      <c r="B420" s="2" t="s">
        <v>45</v>
      </c>
      <c r="C420" s="3">
        <v>-31.901799</v>
      </c>
    </row>
    <row r="421" spans="1:3" s="1" customFormat="1" ht="19.75" customHeight="1" x14ac:dyDescent="0.25">
      <c r="A421" s="7">
        <f>2021</f>
        <v>2021</v>
      </c>
      <c r="B421" s="2" t="s">
        <v>94</v>
      </c>
      <c r="C421" s="4">
        <v>236.00479999999999</v>
      </c>
    </row>
    <row r="422" spans="1:3" s="1" customFormat="1" ht="19.75" customHeight="1" x14ac:dyDescent="0.25">
      <c r="A422" s="7">
        <f>2021</f>
        <v>2021</v>
      </c>
      <c r="B422" s="2" t="s">
        <v>46</v>
      </c>
      <c r="C422" s="3">
        <v>18.383400000000002</v>
      </c>
    </row>
    <row r="423" spans="1:3" s="1" customFormat="1" ht="19.75" customHeight="1" x14ac:dyDescent="0.25">
      <c r="A423" s="7">
        <f>2021</f>
        <v>2021</v>
      </c>
      <c r="B423" s="2" t="s">
        <v>47</v>
      </c>
      <c r="C423" s="4">
        <v>567.92190000000005</v>
      </c>
    </row>
    <row r="424" spans="1:3" s="1" customFormat="1" ht="19.75" customHeight="1" x14ac:dyDescent="0.25">
      <c r="A424" s="7">
        <f>2021</f>
        <v>2021</v>
      </c>
      <c r="B424" s="2" t="s">
        <v>48</v>
      </c>
      <c r="C424" s="3">
        <v>1500.6818000000001</v>
      </c>
    </row>
    <row r="425" spans="1:3" s="1" customFormat="1" ht="19.75" customHeight="1" x14ac:dyDescent="0.25">
      <c r="A425" s="7">
        <f>2021</f>
        <v>2021</v>
      </c>
      <c r="B425" s="2" t="s">
        <v>49</v>
      </c>
      <c r="C425" s="4">
        <v>3.0604</v>
      </c>
    </row>
    <row r="426" spans="1:3" s="1" customFormat="1" ht="19.75" customHeight="1" x14ac:dyDescent="0.25">
      <c r="A426" s="7">
        <f>2021</f>
        <v>2021</v>
      </c>
      <c r="B426" s="2" t="s">
        <v>50</v>
      </c>
      <c r="C426" s="3">
        <v>29.579499999999999</v>
      </c>
    </row>
    <row r="427" spans="1:3" s="1" customFormat="1" ht="19.75" customHeight="1" x14ac:dyDescent="0.25">
      <c r="A427" s="7">
        <f>2021</f>
        <v>2021</v>
      </c>
      <c r="B427" s="2" t="s">
        <v>51</v>
      </c>
      <c r="C427" s="4">
        <v>139.23419999999999</v>
      </c>
    </row>
    <row r="428" spans="1:3" s="1" customFormat="1" ht="19.75" customHeight="1" x14ac:dyDescent="0.25">
      <c r="A428" s="7">
        <f>2021</f>
        <v>2021</v>
      </c>
      <c r="B428" s="2" t="s">
        <v>52</v>
      </c>
      <c r="C428" s="3">
        <v>4.2805999999999997</v>
      </c>
    </row>
    <row r="429" spans="1:3" s="1" customFormat="1" ht="19.75" customHeight="1" x14ac:dyDescent="0.25">
      <c r="A429" s="7">
        <f>2021</f>
        <v>2021</v>
      </c>
      <c r="B429" s="2" t="s">
        <v>99</v>
      </c>
      <c r="C429" s="4">
        <v>3037.4395</v>
      </c>
    </row>
    <row r="430" spans="1:3" s="1" customFormat="1" ht="19.75" customHeight="1" x14ac:dyDescent="0.25">
      <c r="A430" s="7">
        <f>2021</f>
        <v>2021</v>
      </c>
      <c r="B430" s="2" t="s">
        <v>53</v>
      </c>
      <c r="C430" s="3">
        <v>71.366100000000003</v>
      </c>
    </row>
    <row r="431" spans="1:3" s="1" customFormat="1" ht="19.75" customHeight="1" x14ac:dyDescent="0.25">
      <c r="A431" s="7">
        <f>2021</f>
        <v>2021</v>
      </c>
      <c r="B431" s="2" t="s">
        <v>54</v>
      </c>
      <c r="C431" s="4">
        <v>13.857799999999999</v>
      </c>
    </row>
    <row r="432" spans="1:3" s="1" customFormat="1" ht="19.75" customHeight="1" x14ac:dyDescent="0.25">
      <c r="A432" s="7">
        <f>2021</f>
        <v>2021</v>
      </c>
      <c r="B432" s="2" t="s">
        <v>55</v>
      </c>
      <c r="C432" s="3">
        <v>1599.0926999999999</v>
      </c>
    </row>
    <row r="433" spans="1:3" s="1" customFormat="1" ht="19.75" customHeight="1" x14ac:dyDescent="0.25">
      <c r="A433" s="7">
        <f>2021</f>
        <v>2021</v>
      </c>
      <c r="B433" s="2" t="s">
        <v>56</v>
      </c>
      <c r="C433" s="4">
        <v>15.131019</v>
      </c>
    </row>
    <row r="434" spans="1:3" s="1" customFormat="1" ht="19.75" customHeight="1" x14ac:dyDescent="0.25">
      <c r="A434" s="7">
        <f>2021</f>
        <v>2021</v>
      </c>
      <c r="B434" s="2" t="s">
        <v>57</v>
      </c>
      <c r="C434" s="3">
        <v>21.611599999999999</v>
      </c>
    </row>
    <row r="435" spans="1:3" s="1" customFormat="1" ht="19.75" customHeight="1" x14ac:dyDescent="0.25">
      <c r="A435" s="7">
        <f>2021</f>
        <v>2021</v>
      </c>
      <c r="B435" s="2" t="s">
        <v>58</v>
      </c>
      <c r="C435" s="4">
        <v>10.9533</v>
      </c>
    </row>
    <row r="436" spans="1:3" s="1" customFormat="1" ht="19.75" customHeight="1" x14ac:dyDescent="0.25">
      <c r="A436" s="7">
        <f>2021</f>
        <v>2021</v>
      </c>
      <c r="B436" s="2" t="s">
        <v>95</v>
      </c>
      <c r="C436" s="3">
        <v>1.3643000000000001</v>
      </c>
    </row>
    <row r="437" spans="1:3" s="1" customFormat="1" ht="19.75" customHeight="1" x14ac:dyDescent="0.25">
      <c r="A437" s="7">
        <f>2021</f>
        <v>2021</v>
      </c>
      <c r="B437" s="2" t="s">
        <v>59</v>
      </c>
      <c r="C437" s="4">
        <v>8.9604999999999997</v>
      </c>
    </row>
    <row r="438" spans="1:3" s="1" customFormat="1" ht="19.75" customHeight="1" x14ac:dyDescent="0.25">
      <c r="A438" s="7">
        <f>2021</f>
        <v>2021</v>
      </c>
      <c r="B438" s="2" t="s">
        <v>60</v>
      </c>
      <c r="C438" s="3">
        <v>214.43950000000001</v>
      </c>
    </row>
    <row r="439" spans="1:3" s="1" customFormat="1" ht="19.75" customHeight="1" x14ac:dyDescent="0.25">
      <c r="A439" s="7">
        <f>2021</f>
        <v>2021</v>
      </c>
      <c r="B439" s="2" t="s">
        <v>61</v>
      </c>
      <c r="C439" s="4">
        <v>289.6875</v>
      </c>
    </row>
    <row r="440" spans="1:3" s="1" customFormat="1" ht="19.75" customHeight="1" x14ac:dyDescent="0.25">
      <c r="A440" s="7">
        <f>2021</f>
        <v>2021</v>
      </c>
      <c r="B440" s="2" t="s">
        <v>64</v>
      </c>
      <c r="C440" s="3">
        <v>-0.152314</v>
      </c>
    </row>
    <row r="441" spans="1:3" s="1" customFormat="1" ht="19.75" customHeight="1" x14ac:dyDescent="0.25">
      <c r="A441" s="7">
        <f>2021</f>
        <v>2021</v>
      </c>
      <c r="B441" s="2" t="s">
        <v>65</v>
      </c>
      <c r="C441" s="4">
        <v>6.8968999999999996</v>
      </c>
    </row>
    <row r="442" spans="1:3" s="1" customFormat="1" ht="19.75" customHeight="1" x14ac:dyDescent="0.25">
      <c r="A442" s="7">
        <f>2021</f>
        <v>2021</v>
      </c>
      <c r="B442" s="2" t="s">
        <v>66</v>
      </c>
      <c r="C442" s="3">
        <v>75.061858999999998</v>
      </c>
    </row>
    <row r="443" spans="1:3" s="1" customFormat="1" ht="19.75" customHeight="1" x14ac:dyDescent="0.25">
      <c r="A443" s="7">
        <f>2021</f>
        <v>2021</v>
      </c>
      <c r="B443" s="2" t="s">
        <v>67</v>
      </c>
      <c r="C443" s="4">
        <v>6.3432000000000004</v>
      </c>
    </row>
    <row r="444" spans="1:3" s="1" customFormat="1" ht="19.75" customHeight="1" x14ac:dyDescent="0.25">
      <c r="A444" s="7">
        <f>2021</f>
        <v>2021</v>
      </c>
      <c r="B444" s="2" t="s">
        <v>68</v>
      </c>
      <c r="C444" s="3">
        <v>94.9358</v>
      </c>
    </row>
    <row r="445" spans="1:3" s="1" customFormat="1" ht="19.75" customHeight="1" x14ac:dyDescent="0.25">
      <c r="A445" s="7">
        <f>2021</f>
        <v>2021</v>
      </c>
      <c r="B445" s="2" t="s">
        <v>69</v>
      </c>
      <c r="C445" s="4">
        <v>82.659499999999994</v>
      </c>
    </row>
    <row r="446" spans="1:3" s="1" customFormat="1" ht="19.75" customHeight="1" x14ac:dyDescent="0.25">
      <c r="A446" s="7">
        <f>2021</f>
        <v>2021</v>
      </c>
      <c r="B446" s="2" t="s">
        <v>96</v>
      </c>
      <c r="C446" s="3">
        <v>2.3706999999999998</v>
      </c>
    </row>
    <row r="447" spans="1:3" s="1" customFormat="1" ht="19.75" customHeight="1" x14ac:dyDescent="0.25">
      <c r="A447" s="7">
        <f>2021</f>
        <v>2021</v>
      </c>
      <c r="B447" s="2" t="s">
        <v>71</v>
      </c>
      <c r="C447" s="4">
        <v>2646.5728020000001</v>
      </c>
    </row>
    <row r="448" spans="1:3" s="1" customFormat="1" ht="19.75" customHeight="1" x14ac:dyDescent="0.25">
      <c r="A448" s="7">
        <f>2021</f>
        <v>2021</v>
      </c>
      <c r="B448" s="2" t="s">
        <v>72</v>
      </c>
      <c r="C448" s="3">
        <v>298.13750900000002</v>
      </c>
    </row>
    <row r="449" spans="1:3" s="1" customFormat="1" ht="19.75" customHeight="1" x14ac:dyDescent="0.25">
      <c r="A449" s="7">
        <f>2021</f>
        <v>2021</v>
      </c>
      <c r="B449" s="2" t="s">
        <v>75</v>
      </c>
      <c r="C449" s="4">
        <v>16.007899999999999</v>
      </c>
    </row>
    <row r="450" spans="1:3" s="1" customFormat="1" ht="19.75" customHeight="1" x14ac:dyDescent="0.25">
      <c r="A450" s="7">
        <f>2021</f>
        <v>2021</v>
      </c>
      <c r="B450" s="2" t="s">
        <v>76</v>
      </c>
      <c r="C450" s="3">
        <v>38.498399999999997</v>
      </c>
    </row>
    <row r="451" spans="1:3" s="1" customFormat="1" ht="19.75" customHeight="1" x14ac:dyDescent="0.25">
      <c r="A451" s="7">
        <f>2021</f>
        <v>2021</v>
      </c>
      <c r="B451" s="2" t="s">
        <v>100</v>
      </c>
      <c r="C451" s="4">
        <v>46.0015</v>
      </c>
    </row>
    <row r="452" spans="1:3" s="1" customFormat="1" ht="19.75" customHeight="1" x14ac:dyDescent="0.25">
      <c r="A452" s="7">
        <f>2021</f>
        <v>2021</v>
      </c>
      <c r="B452" s="2" t="s">
        <v>78</v>
      </c>
      <c r="C452" s="3">
        <v>957.26458300000002</v>
      </c>
    </row>
    <row r="453" spans="1:3" s="1" customFormat="1" ht="19.75" customHeight="1" x14ac:dyDescent="0.25">
      <c r="A453" s="7">
        <f>2021</f>
        <v>2021</v>
      </c>
      <c r="B453" s="2" t="s">
        <v>79</v>
      </c>
      <c r="C453" s="4">
        <v>30.7011</v>
      </c>
    </row>
    <row r="454" spans="1:3" s="1" customFormat="1" ht="19.75" customHeight="1" x14ac:dyDescent="0.25">
      <c r="A454" s="7">
        <f>2021</f>
        <v>2021</v>
      </c>
      <c r="B454" s="2" t="s">
        <v>80</v>
      </c>
      <c r="C454" s="3">
        <v>502.36320000000001</v>
      </c>
    </row>
    <row r="455" spans="1:3" s="1" customFormat="1" ht="19.75" customHeight="1" x14ac:dyDescent="0.25">
      <c r="A455" s="7">
        <f>2021</f>
        <v>2021</v>
      </c>
      <c r="B455" s="2" t="s">
        <v>81</v>
      </c>
      <c r="C455" s="4">
        <v>311.58819999999997</v>
      </c>
    </row>
    <row r="456" spans="1:3" s="1" customFormat="1" ht="19.75" customHeight="1" x14ac:dyDescent="0.25">
      <c r="A456" s="7">
        <f>2021</f>
        <v>2021</v>
      </c>
      <c r="B456" s="2" t="s">
        <v>97</v>
      </c>
      <c r="C456" s="3">
        <v>250.245926</v>
      </c>
    </row>
    <row r="457" spans="1:3" s="1" customFormat="1" ht="19.75" customHeight="1" x14ac:dyDescent="0.25">
      <c r="A457" s="7">
        <f>2021</f>
        <v>2021</v>
      </c>
      <c r="B457" s="2" t="s">
        <v>82</v>
      </c>
      <c r="C457" s="4">
        <v>366.59219999999999</v>
      </c>
    </row>
    <row r="458" spans="1:3" s="1" customFormat="1" ht="19.75" customHeight="1" x14ac:dyDescent="0.25">
      <c r="A458" s="7">
        <f>2021</f>
        <v>2021</v>
      </c>
      <c r="B458" s="2" t="s">
        <v>83</v>
      </c>
      <c r="C458" s="3">
        <v>44.082999999999998</v>
      </c>
    </row>
    <row r="459" spans="1:3" s="1" customFormat="1" ht="19.75" customHeight="1" x14ac:dyDescent="0.25">
      <c r="A459" s="7">
        <f>2021</f>
        <v>2021</v>
      </c>
      <c r="B459" s="2" t="s">
        <v>85</v>
      </c>
      <c r="C459" s="4">
        <v>146.39709999999999</v>
      </c>
    </row>
    <row r="460" spans="1:3" s="1" customFormat="1" ht="19.75" customHeight="1" x14ac:dyDescent="0.25">
      <c r="A460" s="7">
        <f>2021</f>
        <v>2021</v>
      </c>
      <c r="B460" s="2" t="s">
        <v>86</v>
      </c>
      <c r="C460" s="3">
        <v>792.48678900000004</v>
      </c>
    </row>
    <row r="461" spans="1:3" s="1" customFormat="1" ht="19.75" customHeight="1" x14ac:dyDescent="0.25">
      <c r="A461" s="7">
        <f>2021</f>
        <v>2021</v>
      </c>
      <c r="B461" s="2" t="s">
        <v>88</v>
      </c>
      <c r="C461" s="4">
        <v>307.22329999999999</v>
      </c>
    </row>
    <row r="462" spans="1:3" s="1" customFormat="1" ht="19.75" customHeight="1" x14ac:dyDescent="0.25">
      <c r="A462" s="7">
        <f>2021</f>
        <v>2021</v>
      </c>
      <c r="B462" s="2" t="s">
        <v>90</v>
      </c>
      <c r="C462" s="3">
        <v>4.0220000000000002</v>
      </c>
    </row>
    <row r="463" spans="1:3" s="1" customFormat="1" ht="19.75" customHeight="1" x14ac:dyDescent="0.25">
      <c r="A463" s="7">
        <f>2021</f>
        <v>2021</v>
      </c>
      <c r="B463" s="2" t="s">
        <v>91</v>
      </c>
      <c r="C463" s="4">
        <v>-6.3433999999999999</v>
      </c>
    </row>
    <row r="464" spans="1:3" s="1" customFormat="1" ht="19.75" customHeight="1" x14ac:dyDescent="0.25">
      <c r="A464" s="7">
        <v>2020</v>
      </c>
      <c r="B464" s="2" t="s">
        <v>101</v>
      </c>
      <c r="C464" s="3">
        <v>8484.5905999999995</v>
      </c>
    </row>
    <row r="465" spans="1:3" s="1" customFormat="1" ht="19.75" customHeight="1" x14ac:dyDescent="0.25">
      <c r="A465" s="7">
        <v>2020</v>
      </c>
      <c r="B465" s="2" t="s">
        <v>102</v>
      </c>
      <c r="C465" s="4">
        <v>6416.7271000000001</v>
      </c>
    </row>
    <row r="466" spans="1:3" s="1" customFormat="1" ht="19.75" customHeight="1" x14ac:dyDescent="0.25">
      <c r="A466" s="7">
        <v>2020</v>
      </c>
      <c r="B466" s="2" t="s">
        <v>0</v>
      </c>
      <c r="C466" s="3">
        <v>18350.030900000002</v>
      </c>
    </row>
    <row r="467" spans="1:3" s="1" customFormat="1" ht="19.75" customHeight="1" x14ac:dyDescent="0.25">
      <c r="A467" s="7">
        <v>2020</v>
      </c>
      <c r="B467" s="2" t="s">
        <v>1</v>
      </c>
      <c r="C467" s="4">
        <v>14475.537614999999</v>
      </c>
    </row>
    <row r="468" spans="1:3" s="1" customFormat="1" ht="19.75" customHeight="1" x14ac:dyDescent="0.25">
      <c r="A468" s="7">
        <v>2020</v>
      </c>
      <c r="B468" s="2" t="s">
        <v>2</v>
      </c>
      <c r="C468" s="3">
        <v>2458.4823000000001</v>
      </c>
    </row>
    <row r="469" spans="1:3" s="1" customFormat="1" ht="19.75" customHeight="1" x14ac:dyDescent="0.25">
      <c r="A469" s="7">
        <v>2020</v>
      </c>
      <c r="B469" s="2" t="s">
        <v>3</v>
      </c>
      <c r="C469" s="4">
        <v>11595.5424</v>
      </c>
    </row>
    <row r="470" spans="1:3" s="1" customFormat="1" ht="19.75" customHeight="1" x14ac:dyDescent="0.25">
      <c r="A470" s="7">
        <v>2020</v>
      </c>
      <c r="B470" s="2" t="s">
        <v>4</v>
      </c>
      <c r="C470" s="3">
        <v>5465.4988000000003</v>
      </c>
    </row>
    <row r="471" spans="1:3" s="1" customFormat="1" ht="19.75" customHeight="1" x14ac:dyDescent="0.25">
      <c r="A471" s="7">
        <v>2020</v>
      </c>
      <c r="B471" s="2" t="s">
        <v>103</v>
      </c>
      <c r="C471" s="4">
        <v>6194.0861000000004</v>
      </c>
    </row>
    <row r="472" spans="1:3" s="1" customFormat="1" ht="19.75" customHeight="1" x14ac:dyDescent="0.25">
      <c r="A472" s="7">
        <v>2020</v>
      </c>
      <c r="B472" s="2" t="s">
        <v>5</v>
      </c>
      <c r="C472" s="3">
        <v>5744.683</v>
      </c>
    </row>
    <row r="473" spans="1:3" s="1" customFormat="1" ht="19.75" customHeight="1" x14ac:dyDescent="0.25">
      <c r="A473" s="7">
        <v>2020</v>
      </c>
      <c r="B473" s="2" t="s">
        <v>6</v>
      </c>
      <c r="C473" s="4">
        <v>12061.084219</v>
      </c>
    </row>
    <row r="474" spans="1:3" s="1" customFormat="1" ht="19.75" customHeight="1" x14ac:dyDescent="0.25">
      <c r="A474" s="7">
        <v>2020</v>
      </c>
      <c r="B474" s="2" t="s">
        <v>104</v>
      </c>
      <c r="C474" s="3">
        <v>5236.4528</v>
      </c>
    </row>
    <row r="475" spans="1:3" s="1" customFormat="1" ht="19.75" customHeight="1" x14ac:dyDescent="0.25">
      <c r="A475" s="7">
        <v>2020</v>
      </c>
      <c r="B475" s="2" t="s">
        <v>7</v>
      </c>
      <c r="C475" s="4">
        <v>2087.7130999999999</v>
      </c>
    </row>
    <row r="476" spans="1:3" s="1" customFormat="1" ht="19.75" customHeight="1" x14ac:dyDescent="0.25">
      <c r="A476" s="7">
        <v>2020</v>
      </c>
      <c r="B476" s="2" t="s">
        <v>8</v>
      </c>
      <c r="C476" s="3">
        <v>14402.3541</v>
      </c>
    </row>
    <row r="477" spans="1:3" s="1" customFormat="1" ht="19.75" customHeight="1" x14ac:dyDescent="0.25">
      <c r="A477" s="7">
        <v>2020</v>
      </c>
      <c r="B477" s="2" t="s">
        <v>9</v>
      </c>
      <c r="C477" s="4">
        <v>53644.503700000001</v>
      </c>
    </row>
    <row r="478" spans="1:3" s="1" customFormat="1" ht="19.75" customHeight="1" x14ac:dyDescent="0.25">
      <c r="A478" s="7">
        <v>2020</v>
      </c>
      <c r="B478" s="2" t="s">
        <v>105</v>
      </c>
      <c r="C478" s="3">
        <v>7074.7064</v>
      </c>
    </row>
    <row r="479" spans="1:3" s="1" customFormat="1" ht="19.75" customHeight="1" x14ac:dyDescent="0.25">
      <c r="A479" s="7">
        <v>2020</v>
      </c>
      <c r="B479" s="2" t="s">
        <v>10</v>
      </c>
      <c r="C479" s="4">
        <v>7272.4274999999998</v>
      </c>
    </row>
    <row r="480" spans="1:3" s="1" customFormat="1" ht="19.75" customHeight="1" x14ac:dyDescent="0.25">
      <c r="A480" s="7">
        <v>2020</v>
      </c>
      <c r="B480" s="2" t="s">
        <v>11</v>
      </c>
      <c r="C480" s="3">
        <v>12078.900799999999</v>
      </c>
    </row>
    <row r="481" spans="1:3" s="1" customFormat="1" ht="19.75" customHeight="1" x14ac:dyDescent="0.25">
      <c r="A481" s="7">
        <v>2020</v>
      </c>
      <c r="B481" s="2" t="s">
        <v>106</v>
      </c>
      <c r="C481" s="4">
        <v>6566.0210999999999</v>
      </c>
    </row>
    <row r="482" spans="1:3" s="1" customFormat="1" ht="19.75" customHeight="1" x14ac:dyDescent="0.25">
      <c r="A482" s="7">
        <v>2020</v>
      </c>
      <c r="B482" s="2" t="s">
        <v>12</v>
      </c>
      <c r="C482" s="3">
        <v>21810.924599999998</v>
      </c>
    </row>
    <row r="483" spans="1:3" s="1" customFormat="1" ht="19.75" customHeight="1" x14ac:dyDescent="0.25">
      <c r="A483" s="7">
        <v>2020</v>
      </c>
      <c r="B483" s="2" t="s">
        <v>13</v>
      </c>
      <c r="C483" s="4">
        <v>2422.8320220000001</v>
      </c>
    </row>
    <row r="484" spans="1:3" s="1" customFormat="1" ht="19.75" customHeight="1" x14ac:dyDescent="0.25">
      <c r="A484" s="7">
        <v>2020</v>
      </c>
      <c r="B484" s="2" t="s">
        <v>14</v>
      </c>
      <c r="C484" s="3">
        <v>865.08190000000002</v>
      </c>
    </row>
    <row r="485" spans="1:3" s="1" customFormat="1" ht="19.75" customHeight="1" x14ac:dyDescent="0.25">
      <c r="A485" s="7">
        <v>2020</v>
      </c>
      <c r="B485" s="2" t="s">
        <v>15</v>
      </c>
      <c r="C485" s="4">
        <v>267.85120000000001</v>
      </c>
    </row>
    <row r="486" spans="1:3" s="1" customFormat="1" ht="19.75" customHeight="1" x14ac:dyDescent="0.25">
      <c r="A486" s="7">
        <v>2020</v>
      </c>
      <c r="B486" s="2" t="s">
        <v>16</v>
      </c>
      <c r="C486" s="3">
        <v>415.12569999999999</v>
      </c>
    </row>
    <row r="487" spans="1:3" s="1" customFormat="1" ht="19.75" customHeight="1" x14ac:dyDescent="0.25">
      <c r="A487" s="7">
        <v>2020</v>
      </c>
      <c r="B487" s="2" t="s">
        <v>17</v>
      </c>
      <c r="C487" s="4">
        <v>96.192899999999995</v>
      </c>
    </row>
    <row r="488" spans="1:3" s="1" customFormat="1" ht="19.75" customHeight="1" x14ac:dyDescent="0.25">
      <c r="A488" s="7">
        <v>2020</v>
      </c>
      <c r="B488" s="2" t="s">
        <v>18</v>
      </c>
      <c r="C488" s="3">
        <v>1661.9171610000001</v>
      </c>
    </row>
    <row r="489" spans="1:3" s="1" customFormat="1" ht="19.75" customHeight="1" x14ac:dyDescent="0.25">
      <c r="A489" s="7">
        <v>2020</v>
      </c>
      <c r="B489" s="2" t="s">
        <v>19</v>
      </c>
      <c r="C489" s="4">
        <v>22492.227800000001</v>
      </c>
    </row>
    <row r="490" spans="1:3" s="1" customFormat="1" ht="19.75" customHeight="1" x14ac:dyDescent="0.25">
      <c r="A490" s="7">
        <v>2020</v>
      </c>
      <c r="B490" s="2" t="s">
        <v>20</v>
      </c>
      <c r="C490" s="3">
        <v>20170.463599999999</v>
      </c>
    </row>
    <row r="491" spans="1:3" s="1" customFormat="1" ht="19.75" customHeight="1" x14ac:dyDescent="0.25">
      <c r="A491" s="7">
        <v>2020</v>
      </c>
      <c r="B491" s="2" t="s">
        <v>21</v>
      </c>
      <c r="C491" s="4">
        <v>17999.344422999999</v>
      </c>
    </row>
    <row r="492" spans="1:3" s="1" customFormat="1" ht="19.75" customHeight="1" x14ac:dyDescent="0.25">
      <c r="A492" s="7">
        <v>2020</v>
      </c>
      <c r="B492" s="2" t="s">
        <v>22</v>
      </c>
      <c r="C492" s="3">
        <v>4800.9463139999998</v>
      </c>
    </row>
    <row r="493" spans="1:3" s="1" customFormat="1" ht="19.75" customHeight="1" x14ac:dyDescent="0.25">
      <c r="A493" s="7">
        <v>2020</v>
      </c>
      <c r="B493" s="2" t="s">
        <v>23</v>
      </c>
      <c r="C493" s="4">
        <v>6354.7960000000003</v>
      </c>
    </row>
    <row r="494" spans="1:3" s="1" customFormat="1" ht="19.75" customHeight="1" x14ac:dyDescent="0.25">
      <c r="A494" s="7">
        <v>2020</v>
      </c>
      <c r="B494" s="2" t="s">
        <v>24</v>
      </c>
      <c r="C494" s="3">
        <v>2664.4567999999999</v>
      </c>
    </row>
    <row r="495" spans="1:3" s="1" customFormat="1" ht="19.75" customHeight="1" x14ac:dyDescent="0.25">
      <c r="A495" s="7">
        <v>2020</v>
      </c>
      <c r="B495" s="2" t="s">
        <v>25</v>
      </c>
      <c r="C495" s="4">
        <v>1224.9888000000001</v>
      </c>
    </row>
    <row r="496" spans="1:3" s="1" customFormat="1" ht="19.75" customHeight="1" x14ac:dyDescent="0.25">
      <c r="A496" s="7">
        <v>2020</v>
      </c>
      <c r="B496" s="2" t="s">
        <v>26</v>
      </c>
      <c r="C496" s="3">
        <v>1525.823885</v>
      </c>
    </row>
    <row r="497" spans="1:3" s="1" customFormat="1" ht="19.75" customHeight="1" x14ac:dyDescent="0.25">
      <c r="A497" s="7">
        <v>2020</v>
      </c>
      <c r="B497" s="2" t="s">
        <v>27</v>
      </c>
      <c r="C497" s="4">
        <v>4073.655256</v>
      </c>
    </row>
    <row r="498" spans="1:3" s="1" customFormat="1" ht="19.75" customHeight="1" x14ac:dyDescent="0.25">
      <c r="A498" s="7">
        <v>2020</v>
      </c>
      <c r="B498" s="2" t="s">
        <v>107</v>
      </c>
      <c r="C498" s="3">
        <v>820.58839999999998</v>
      </c>
    </row>
    <row r="499" spans="1:3" s="1" customFormat="1" ht="19.75" customHeight="1" x14ac:dyDescent="0.25">
      <c r="A499" s="7">
        <v>2020</v>
      </c>
      <c r="B499" s="2" t="s">
        <v>28</v>
      </c>
      <c r="C499" s="4">
        <v>180.29769999999999</v>
      </c>
    </row>
    <row r="500" spans="1:3" s="1" customFormat="1" ht="19.75" customHeight="1" x14ac:dyDescent="0.25">
      <c r="A500" s="7">
        <v>2020</v>
      </c>
      <c r="B500" s="2" t="s">
        <v>29</v>
      </c>
      <c r="C500" s="3">
        <v>2208.6529999999998</v>
      </c>
    </row>
    <row r="501" spans="1:3" s="1" customFormat="1" ht="19.75" customHeight="1" x14ac:dyDescent="0.25">
      <c r="A501" s="7">
        <v>2020</v>
      </c>
      <c r="B501" s="2" t="s">
        <v>30</v>
      </c>
      <c r="C501" s="4">
        <v>1541.0459000000001</v>
      </c>
    </row>
    <row r="502" spans="1:3" s="1" customFormat="1" ht="19.75" customHeight="1" x14ac:dyDescent="0.25">
      <c r="A502" s="7">
        <v>2020</v>
      </c>
      <c r="B502" s="2" t="s">
        <v>31</v>
      </c>
      <c r="C502" s="3">
        <v>587.33180000000004</v>
      </c>
    </row>
    <row r="503" spans="1:3" s="1" customFormat="1" ht="19.75" customHeight="1" x14ac:dyDescent="0.25">
      <c r="A503" s="7">
        <v>2020</v>
      </c>
      <c r="B503" s="2" t="s">
        <v>32</v>
      </c>
      <c r="C503" s="4">
        <v>28350.5448</v>
      </c>
    </row>
    <row r="504" spans="1:3" s="1" customFormat="1" ht="19.75" customHeight="1" x14ac:dyDescent="0.25">
      <c r="A504" s="7">
        <v>2020</v>
      </c>
      <c r="B504" s="2" t="s">
        <v>93</v>
      </c>
      <c r="C504" s="3">
        <v>2.6549</v>
      </c>
    </row>
    <row r="505" spans="1:3" s="1" customFormat="1" ht="19.75" customHeight="1" x14ac:dyDescent="0.25">
      <c r="A505" s="7">
        <v>2020</v>
      </c>
      <c r="B505" s="2" t="s">
        <v>98</v>
      </c>
      <c r="C505" s="4">
        <v>35.235599999999998</v>
      </c>
    </row>
    <row r="506" spans="1:3" s="1" customFormat="1" ht="19.75" customHeight="1" x14ac:dyDescent="0.25">
      <c r="A506" s="7">
        <v>2020</v>
      </c>
      <c r="B506" s="2" t="s">
        <v>34</v>
      </c>
      <c r="C506" s="3">
        <v>203.4118</v>
      </c>
    </row>
    <row r="507" spans="1:3" s="1" customFormat="1" ht="19.75" customHeight="1" x14ac:dyDescent="0.25">
      <c r="A507" s="7">
        <v>2020</v>
      </c>
      <c r="B507" s="2" t="s">
        <v>35</v>
      </c>
      <c r="C507" s="4">
        <v>81.003100000000003</v>
      </c>
    </row>
    <row r="508" spans="1:3" s="1" customFormat="1" ht="19.75" customHeight="1" x14ac:dyDescent="0.25">
      <c r="A508" s="7">
        <v>2020</v>
      </c>
      <c r="B508" s="2" t="s">
        <v>36</v>
      </c>
      <c r="C508" s="3">
        <v>1065.2813000000001</v>
      </c>
    </row>
    <row r="509" spans="1:3" s="1" customFormat="1" ht="19.75" customHeight="1" x14ac:dyDescent="0.25">
      <c r="A509" s="7">
        <v>2020</v>
      </c>
      <c r="B509" s="2" t="s">
        <v>37</v>
      </c>
      <c r="C509" s="4">
        <v>38.247042</v>
      </c>
    </row>
    <row r="510" spans="1:3" s="1" customFormat="1" ht="19.75" customHeight="1" x14ac:dyDescent="0.25">
      <c r="A510" s="7">
        <v>2020</v>
      </c>
      <c r="B510" s="2" t="s">
        <v>38</v>
      </c>
      <c r="C510" s="3">
        <v>9.8645999999999994</v>
      </c>
    </row>
    <row r="511" spans="1:3" s="1" customFormat="1" ht="19.75" customHeight="1" x14ac:dyDescent="0.25">
      <c r="A511" s="7">
        <v>2020</v>
      </c>
      <c r="B511" s="2" t="s">
        <v>39</v>
      </c>
      <c r="C511" s="4">
        <v>-0.42249999999999999</v>
      </c>
    </row>
    <row r="512" spans="1:3" s="1" customFormat="1" ht="19.75" customHeight="1" x14ac:dyDescent="0.25">
      <c r="A512" s="7">
        <v>2020</v>
      </c>
      <c r="B512" s="2" t="s">
        <v>40</v>
      </c>
      <c r="C512" s="3">
        <v>10.3619</v>
      </c>
    </row>
    <row r="513" spans="1:3" s="1" customFormat="1" ht="19.75" customHeight="1" x14ac:dyDescent="0.25">
      <c r="A513" s="7">
        <v>2020</v>
      </c>
      <c r="B513" s="2" t="s">
        <v>41</v>
      </c>
      <c r="C513" s="4">
        <v>451.5566</v>
      </c>
    </row>
    <row r="514" spans="1:3" s="1" customFormat="1" ht="19.75" customHeight="1" x14ac:dyDescent="0.25">
      <c r="A514" s="7">
        <v>2020</v>
      </c>
      <c r="B514" s="2" t="s">
        <v>42</v>
      </c>
      <c r="C514" s="3">
        <v>217.5736</v>
      </c>
    </row>
    <row r="515" spans="1:3" s="1" customFormat="1" ht="19.75" customHeight="1" x14ac:dyDescent="0.25">
      <c r="A515" s="7">
        <v>2020</v>
      </c>
      <c r="B515" s="2" t="s">
        <v>43</v>
      </c>
      <c r="C515" s="4">
        <v>4179.8945290000001</v>
      </c>
    </row>
    <row r="516" spans="1:3" s="1" customFormat="1" ht="19.75" customHeight="1" x14ac:dyDescent="0.25">
      <c r="A516" s="7">
        <v>2020</v>
      </c>
      <c r="B516" s="2" t="s">
        <v>44</v>
      </c>
      <c r="C516" s="3">
        <v>80.032499999999999</v>
      </c>
    </row>
    <row r="517" spans="1:3" s="1" customFormat="1" ht="19.75" customHeight="1" x14ac:dyDescent="0.25">
      <c r="A517" s="7">
        <v>2020</v>
      </c>
      <c r="B517" s="2" t="s">
        <v>45</v>
      </c>
      <c r="C517" s="4">
        <v>51.489910000000002</v>
      </c>
    </row>
    <row r="518" spans="1:3" s="1" customFormat="1" ht="19.75" customHeight="1" x14ac:dyDescent="0.25">
      <c r="A518" s="7">
        <v>2020</v>
      </c>
      <c r="B518" s="2" t="s">
        <v>94</v>
      </c>
      <c r="C518" s="3">
        <v>270.16750000000002</v>
      </c>
    </row>
    <row r="519" spans="1:3" s="1" customFormat="1" ht="19.75" customHeight="1" x14ac:dyDescent="0.25">
      <c r="A519" s="7">
        <v>2020</v>
      </c>
      <c r="B519" s="2" t="s">
        <v>46</v>
      </c>
      <c r="C519" s="4">
        <v>12.525</v>
      </c>
    </row>
    <row r="520" spans="1:3" s="1" customFormat="1" ht="19.75" customHeight="1" x14ac:dyDescent="0.25">
      <c r="A520" s="7">
        <v>2020</v>
      </c>
      <c r="B520" s="2" t="s">
        <v>47</v>
      </c>
      <c r="C520" s="3">
        <v>90.470100000000002</v>
      </c>
    </row>
    <row r="521" spans="1:3" s="1" customFormat="1" ht="19.75" customHeight="1" x14ac:dyDescent="0.25">
      <c r="A521" s="7">
        <v>2020</v>
      </c>
      <c r="B521" s="2" t="s">
        <v>48</v>
      </c>
      <c r="C521" s="4">
        <v>1483.114</v>
      </c>
    </row>
    <row r="522" spans="1:3" s="1" customFormat="1" ht="19.75" customHeight="1" x14ac:dyDescent="0.25">
      <c r="A522" s="7">
        <v>2020</v>
      </c>
      <c r="B522" s="2" t="s">
        <v>49</v>
      </c>
      <c r="C522" s="3">
        <v>-0.4521</v>
      </c>
    </row>
    <row r="523" spans="1:3" s="1" customFormat="1" ht="19.75" customHeight="1" x14ac:dyDescent="0.25">
      <c r="A523" s="7">
        <v>2020</v>
      </c>
      <c r="B523" s="2" t="s">
        <v>50</v>
      </c>
      <c r="C523" s="4">
        <v>13.4354</v>
      </c>
    </row>
    <row r="524" spans="1:3" s="1" customFormat="1" ht="19.75" customHeight="1" x14ac:dyDescent="0.25">
      <c r="A524" s="7">
        <v>2020</v>
      </c>
      <c r="B524" s="2" t="s">
        <v>51</v>
      </c>
      <c r="C524" s="3">
        <v>94.485299999999995</v>
      </c>
    </row>
    <row r="525" spans="1:3" s="1" customFormat="1" ht="19.75" customHeight="1" x14ac:dyDescent="0.25">
      <c r="A525" s="7">
        <v>2020</v>
      </c>
      <c r="B525" s="2" t="s">
        <v>52</v>
      </c>
      <c r="C525" s="4">
        <v>20.77</v>
      </c>
    </row>
    <row r="526" spans="1:3" s="1" customFormat="1" ht="19.75" customHeight="1" x14ac:dyDescent="0.25">
      <c r="A526" s="7">
        <v>2020</v>
      </c>
      <c r="B526" s="2" t="s">
        <v>99</v>
      </c>
      <c r="C526" s="3">
        <v>2889.9893999999999</v>
      </c>
    </row>
    <row r="527" spans="1:3" s="1" customFormat="1" ht="19.75" customHeight="1" x14ac:dyDescent="0.25">
      <c r="A527" s="7">
        <v>2020</v>
      </c>
      <c r="B527" s="2" t="s">
        <v>53</v>
      </c>
      <c r="C527" s="4">
        <v>40.6143</v>
      </c>
    </row>
    <row r="528" spans="1:3" s="1" customFormat="1" ht="19.75" customHeight="1" x14ac:dyDescent="0.25">
      <c r="A528" s="7">
        <v>2020</v>
      </c>
      <c r="B528" s="2" t="s">
        <v>54</v>
      </c>
      <c r="C528" s="3">
        <v>14.4757</v>
      </c>
    </row>
    <row r="529" spans="1:3" s="1" customFormat="1" ht="19.75" customHeight="1" x14ac:dyDescent="0.25">
      <c r="A529" s="7">
        <v>2020</v>
      </c>
      <c r="B529" s="2" t="s">
        <v>55</v>
      </c>
      <c r="C529" s="4">
        <v>1127.8942</v>
      </c>
    </row>
    <row r="530" spans="1:3" s="1" customFormat="1" ht="19.75" customHeight="1" x14ac:dyDescent="0.25">
      <c r="A530" s="7">
        <v>2020</v>
      </c>
      <c r="B530" s="2" t="s">
        <v>56</v>
      </c>
      <c r="C530" s="3">
        <v>-7.6610940000000003</v>
      </c>
    </row>
    <row r="531" spans="1:3" s="1" customFormat="1" ht="19.75" customHeight="1" x14ac:dyDescent="0.25">
      <c r="A531" s="7">
        <v>2020</v>
      </c>
      <c r="B531" s="2" t="s">
        <v>57</v>
      </c>
      <c r="C531" s="4">
        <v>33.9268</v>
      </c>
    </row>
    <row r="532" spans="1:3" s="1" customFormat="1" ht="19.75" customHeight="1" x14ac:dyDescent="0.25">
      <c r="A532" s="7">
        <v>2020</v>
      </c>
      <c r="B532" s="2" t="s">
        <v>58</v>
      </c>
      <c r="C532" s="3">
        <v>1.9749000000000001</v>
      </c>
    </row>
    <row r="533" spans="1:3" s="1" customFormat="1" ht="19.75" customHeight="1" x14ac:dyDescent="0.25">
      <c r="A533" s="7">
        <v>2020</v>
      </c>
      <c r="B533" s="2" t="s">
        <v>95</v>
      </c>
      <c r="C533" s="4">
        <v>4.1913999999999998</v>
      </c>
    </row>
    <row r="534" spans="1:3" s="1" customFormat="1" ht="19.75" customHeight="1" x14ac:dyDescent="0.25">
      <c r="A534" s="7">
        <v>2020</v>
      </c>
      <c r="B534" s="2" t="s">
        <v>59</v>
      </c>
      <c r="C534" s="3">
        <v>11.9339</v>
      </c>
    </row>
    <row r="535" spans="1:3" s="1" customFormat="1" ht="19.75" customHeight="1" x14ac:dyDescent="0.25">
      <c r="A535" s="7">
        <v>2020</v>
      </c>
      <c r="B535" s="2" t="s">
        <v>60</v>
      </c>
      <c r="C535" s="4">
        <v>254.15960000000001</v>
      </c>
    </row>
    <row r="536" spans="1:3" s="1" customFormat="1" ht="19.75" customHeight="1" x14ac:dyDescent="0.25">
      <c r="A536" s="7">
        <v>2020</v>
      </c>
      <c r="B536" s="2" t="s">
        <v>61</v>
      </c>
      <c r="C536" s="3">
        <v>298.29950000000002</v>
      </c>
    </row>
    <row r="537" spans="1:3" s="1" customFormat="1" ht="19.75" customHeight="1" x14ac:dyDescent="0.25">
      <c r="A537" s="7">
        <v>2020</v>
      </c>
      <c r="B537" s="2" t="s">
        <v>64</v>
      </c>
      <c r="C537" s="4">
        <v>-7.2661000000000003E-2</v>
      </c>
    </row>
    <row r="538" spans="1:3" s="1" customFormat="1" ht="19.75" customHeight="1" x14ac:dyDescent="0.25">
      <c r="A538" s="7">
        <v>2020</v>
      </c>
      <c r="B538" s="2" t="s">
        <v>65</v>
      </c>
      <c r="C538" s="3">
        <v>3.5983999999999998</v>
      </c>
    </row>
    <row r="539" spans="1:3" s="1" customFormat="1" ht="19.75" customHeight="1" x14ac:dyDescent="0.25">
      <c r="A539" s="7">
        <v>2020</v>
      </c>
      <c r="B539" s="2" t="s">
        <v>66</v>
      </c>
      <c r="C539" s="4">
        <v>60.874983999999998</v>
      </c>
    </row>
    <row r="540" spans="1:3" s="1" customFormat="1" ht="19.75" customHeight="1" x14ac:dyDescent="0.25">
      <c r="A540" s="7">
        <v>2020</v>
      </c>
      <c r="B540" s="2" t="s">
        <v>67</v>
      </c>
      <c r="C540" s="3">
        <v>26.787700000000001</v>
      </c>
    </row>
    <row r="541" spans="1:3" s="1" customFormat="1" ht="19.75" customHeight="1" x14ac:dyDescent="0.25">
      <c r="A541" s="7">
        <v>2020</v>
      </c>
      <c r="B541" s="2" t="s">
        <v>68</v>
      </c>
      <c r="C541" s="4">
        <v>127.26139999999999</v>
      </c>
    </row>
    <row r="542" spans="1:3" s="1" customFormat="1" ht="19.75" customHeight="1" x14ac:dyDescent="0.25">
      <c r="A542" s="7">
        <v>2020</v>
      </c>
      <c r="B542" s="2" t="s">
        <v>69</v>
      </c>
      <c r="C542" s="3">
        <v>69.265699999999995</v>
      </c>
    </row>
    <row r="543" spans="1:3" s="1" customFormat="1" ht="19.75" customHeight="1" x14ac:dyDescent="0.25">
      <c r="A543" s="7">
        <v>2020</v>
      </c>
      <c r="B543" s="2" t="s">
        <v>96</v>
      </c>
      <c r="C543" s="4">
        <v>1.0590999999999999</v>
      </c>
    </row>
    <row r="544" spans="1:3" s="1" customFormat="1" ht="19.75" customHeight="1" x14ac:dyDescent="0.25">
      <c r="A544" s="7">
        <v>2020</v>
      </c>
      <c r="B544" s="2" t="s">
        <v>71</v>
      </c>
      <c r="C544" s="3">
        <v>3082.3324229999998</v>
      </c>
    </row>
    <row r="545" spans="1:3" s="1" customFormat="1" ht="19.75" customHeight="1" x14ac:dyDescent="0.25">
      <c r="A545" s="7">
        <v>2020</v>
      </c>
      <c r="B545" s="2" t="s">
        <v>72</v>
      </c>
      <c r="C545" s="4">
        <v>210.89643799999999</v>
      </c>
    </row>
    <row r="546" spans="1:3" s="1" customFormat="1" ht="19.75" customHeight="1" x14ac:dyDescent="0.25">
      <c r="A546" s="7">
        <v>2020</v>
      </c>
      <c r="B546" s="2" t="s">
        <v>75</v>
      </c>
      <c r="C546" s="3">
        <v>-49.260599999999997</v>
      </c>
    </row>
    <row r="547" spans="1:3" s="1" customFormat="1" ht="19.75" customHeight="1" x14ac:dyDescent="0.25">
      <c r="A547" s="7">
        <v>2020</v>
      </c>
      <c r="B547" s="2" t="s">
        <v>108</v>
      </c>
      <c r="C547" s="4">
        <v>4.3718000000000004</v>
      </c>
    </row>
    <row r="548" spans="1:3" s="1" customFormat="1" ht="19.75" customHeight="1" x14ac:dyDescent="0.25">
      <c r="A548" s="7">
        <v>2020</v>
      </c>
      <c r="B548" s="2" t="s">
        <v>76</v>
      </c>
      <c r="C548" s="3">
        <v>37.919800000000002</v>
      </c>
    </row>
    <row r="549" spans="1:3" s="1" customFormat="1" ht="19.75" customHeight="1" x14ac:dyDescent="0.25">
      <c r="A549" s="7">
        <v>2020</v>
      </c>
      <c r="B549" s="2" t="s">
        <v>100</v>
      </c>
      <c r="C549" s="4">
        <v>-7.0735999999999999</v>
      </c>
    </row>
    <row r="550" spans="1:3" s="1" customFormat="1" ht="19.75" customHeight="1" x14ac:dyDescent="0.25">
      <c r="A550" s="7">
        <v>2020</v>
      </c>
      <c r="B550" s="2" t="s">
        <v>78</v>
      </c>
      <c r="C550" s="3">
        <v>522.38926800000002</v>
      </c>
    </row>
    <row r="551" spans="1:3" s="1" customFormat="1" ht="19.75" customHeight="1" x14ac:dyDescent="0.25">
      <c r="A551" s="7">
        <v>2020</v>
      </c>
      <c r="B551" s="2" t="s">
        <v>79</v>
      </c>
      <c r="C551" s="4">
        <v>26.8626</v>
      </c>
    </row>
    <row r="552" spans="1:3" s="1" customFormat="1" ht="19.75" customHeight="1" x14ac:dyDescent="0.25">
      <c r="A552" s="7">
        <v>2020</v>
      </c>
      <c r="B552" s="2" t="s">
        <v>80</v>
      </c>
      <c r="C552" s="3">
        <v>353.9434</v>
      </c>
    </row>
    <row r="553" spans="1:3" s="1" customFormat="1" ht="19.75" customHeight="1" x14ac:dyDescent="0.25">
      <c r="A553" s="7">
        <v>2020</v>
      </c>
      <c r="B553" s="2" t="s">
        <v>81</v>
      </c>
      <c r="C553" s="4">
        <v>134.31139999999999</v>
      </c>
    </row>
    <row r="554" spans="1:3" s="1" customFormat="1" ht="19.75" customHeight="1" x14ac:dyDescent="0.25">
      <c r="A554" s="7">
        <v>2020</v>
      </c>
      <c r="B554" s="2" t="s">
        <v>97</v>
      </c>
      <c r="C554" s="3">
        <v>194.632677</v>
      </c>
    </row>
    <row r="555" spans="1:3" s="1" customFormat="1" ht="19.75" customHeight="1" x14ac:dyDescent="0.25">
      <c r="A555" s="7">
        <v>2020</v>
      </c>
      <c r="B555" s="2" t="s">
        <v>82</v>
      </c>
      <c r="C555" s="4">
        <v>250.39605700000001</v>
      </c>
    </row>
    <row r="556" spans="1:3" s="1" customFormat="1" ht="19.75" customHeight="1" x14ac:dyDescent="0.25">
      <c r="A556" s="7">
        <v>2020</v>
      </c>
      <c r="B556" s="2" t="s">
        <v>83</v>
      </c>
      <c r="C556" s="3">
        <v>43.163960000000003</v>
      </c>
    </row>
    <row r="557" spans="1:3" s="1" customFormat="1" ht="19.75" customHeight="1" x14ac:dyDescent="0.25">
      <c r="A557" s="7">
        <v>2020</v>
      </c>
      <c r="B557" s="2" t="s">
        <v>85</v>
      </c>
      <c r="C557" s="4">
        <v>194.89850000000001</v>
      </c>
    </row>
    <row r="558" spans="1:3" s="1" customFormat="1" ht="19.75" customHeight="1" x14ac:dyDescent="0.25">
      <c r="A558" s="7">
        <v>2020</v>
      </c>
      <c r="B558" s="2" t="s">
        <v>86</v>
      </c>
      <c r="C558" s="3">
        <v>287.312704</v>
      </c>
    </row>
    <row r="559" spans="1:3" s="1" customFormat="1" ht="19.75" customHeight="1" x14ac:dyDescent="0.25">
      <c r="A559" s="7">
        <v>2020</v>
      </c>
      <c r="B559" s="2" t="s">
        <v>88</v>
      </c>
      <c r="C559" s="4">
        <v>163.55260000000001</v>
      </c>
    </row>
    <row r="560" spans="1:3" s="1" customFormat="1" ht="19.75" customHeight="1" x14ac:dyDescent="0.25">
      <c r="A560" s="7">
        <v>2020</v>
      </c>
      <c r="B560" s="2" t="s">
        <v>91</v>
      </c>
      <c r="C560" s="3">
        <v>-112.350036</v>
      </c>
    </row>
    <row r="561" spans="1:3" s="1" customFormat="1" ht="19.75" customHeight="1" x14ac:dyDescent="0.25">
      <c r="A561" s="7">
        <f>2019</f>
        <v>2019</v>
      </c>
      <c r="B561" s="2" t="s">
        <v>101</v>
      </c>
      <c r="C561" s="4">
        <v>11100.9748</v>
      </c>
    </row>
    <row r="562" spans="1:3" s="1" customFormat="1" ht="19.75" customHeight="1" x14ac:dyDescent="0.25">
      <c r="A562" s="7">
        <f>2019</f>
        <v>2019</v>
      </c>
      <c r="B562" s="2" t="s">
        <v>102</v>
      </c>
      <c r="C562" s="3">
        <v>7809.2475999999997</v>
      </c>
    </row>
    <row r="563" spans="1:3" s="1" customFormat="1" ht="19.75" customHeight="1" x14ac:dyDescent="0.25">
      <c r="A563" s="7">
        <f>2019</f>
        <v>2019</v>
      </c>
      <c r="B563" s="2" t="s">
        <v>0</v>
      </c>
      <c r="C563" s="4">
        <v>13053.299800000001</v>
      </c>
    </row>
    <row r="564" spans="1:3" s="1" customFormat="1" ht="19.75" customHeight="1" x14ac:dyDescent="0.25">
      <c r="A564" s="7">
        <f>2019</f>
        <v>2019</v>
      </c>
      <c r="B564" s="2" t="s">
        <v>1</v>
      </c>
      <c r="C564" s="3">
        <v>13639.110500000001</v>
      </c>
    </row>
    <row r="565" spans="1:3" s="1" customFormat="1" ht="19.75" customHeight="1" x14ac:dyDescent="0.25">
      <c r="A565" s="7">
        <f>2019</f>
        <v>2019</v>
      </c>
      <c r="B565" s="2" t="s">
        <v>2</v>
      </c>
      <c r="C565" s="4">
        <v>6981.4884000000002</v>
      </c>
    </row>
    <row r="566" spans="1:3" s="1" customFormat="1" ht="19.75" customHeight="1" x14ac:dyDescent="0.25">
      <c r="A566" s="7">
        <f>2019</f>
        <v>2019</v>
      </c>
      <c r="B566" s="2" t="s">
        <v>3</v>
      </c>
      <c r="C566" s="3">
        <v>10243.855600000001</v>
      </c>
    </row>
    <row r="567" spans="1:3" s="1" customFormat="1" ht="19.75" customHeight="1" x14ac:dyDescent="0.25">
      <c r="A567" s="7">
        <f>2019</f>
        <v>2019</v>
      </c>
      <c r="B567" s="2" t="s">
        <v>4</v>
      </c>
      <c r="C567" s="4">
        <v>8767.9725999999991</v>
      </c>
    </row>
    <row r="568" spans="1:3" s="1" customFormat="1" ht="19.75" customHeight="1" x14ac:dyDescent="0.25">
      <c r="A568" s="7">
        <f>2019</f>
        <v>2019</v>
      </c>
      <c r="B568" s="2" t="s">
        <v>103</v>
      </c>
      <c r="C568" s="3">
        <v>10227.447899999999</v>
      </c>
    </row>
    <row r="569" spans="1:3" s="1" customFormat="1" ht="19.75" customHeight="1" x14ac:dyDescent="0.25">
      <c r="A569" s="7">
        <f>2019</f>
        <v>2019</v>
      </c>
      <c r="B569" s="2" t="s">
        <v>109</v>
      </c>
      <c r="C569" s="4">
        <v>6536.4</v>
      </c>
    </row>
    <row r="570" spans="1:3" s="1" customFormat="1" ht="19.75" customHeight="1" x14ac:dyDescent="0.25">
      <c r="A570" s="7">
        <f>2019</f>
        <v>2019</v>
      </c>
      <c r="B570" s="2" t="s">
        <v>5</v>
      </c>
      <c r="C570" s="3">
        <v>4558.6639999999998</v>
      </c>
    </row>
    <row r="571" spans="1:3" s="1" customFormat="1" ht="19.75" customHeight="1" x14ac:dyDescent="0.25">
      <c r="A571" s="7">
        <f>2019</f>
        <v>2019</v>
      </c>
      <c r="B571" s="2" t="s">
        <v>6</v>
      </c>
      <c r="C571" s="4">
        <v>8771.7536999999993</v>
      </c>
    </row>
    <row r="572" spans="1:3" s="1" customFormat="1" ht="19.75" customHeight="1" x14ac:dyDescent="0.25">
      <c r="A572" s="7">
        <f>2019</f>
        <v>2019</v>
      </c>
      <c r="B572" s="2" t="s">
        <v>104</v>
      </c>
      <c r="C572" s="3">
        <v>3698.77</v>
      </c>
    </row>
    <row r="573" spans="1:3" s="1" customFormat="1" ht="19.75" customHeight="1" x14ac:dyDescent="0.25">
      <c r="A573" s="7">
        <f>2019</f>
        <v>2019</v>
      </c>
      <c r="B573" s="2" t="s">
        <v>7</v>
      </c>
      <c r="C573" s="4">
        <v>1940.3356000000001</v>
      </c>
    </row>
    <row r="574" spans="1:3" s="1" customFormat="1" ht="19.75" customHeight="1" x14ac:dyDescent="0.25">
      <c r="A574" s="7">
        <f>2019</f>
        <v>2019</v>
      </c>
      <c r="B574" s="2" t="s">
        <v>8</v>
      </c>
      <c r="C574" s="3">
        <v>22970.728999999999</v>
      </c>
    </row>
    <row r="575" spans="1:3" s="1" customFormat="1" ht="19.75" customHeight="1" x14ac:dyDescent="0.25">
      <c r="A575" s="7">
        <f>2019</f>
        <v>2019</v>
      </c>
      <c r="B575" s="2" t="s">
        <v>9</v>
      </c>
      <c r="C575" s="4">
        <v>54573.7961</v>
      </c>
    </row>
    <row r="576" spans="1:3" s="1" customFormat="1" ht="19.75" customHeight="1" x14ac:dyDescent="0.25">
      <c r="A576" s="7">
        <f>2019</f>
        <v>2019</v>
      </c>
      <c r="B576" s="2" t="s">
        <v>105</v>
      </c>
      <c r="C576" s="3">
        <v>5407.4903999999997</v>
      </c>
    </row>
    <row r="577" spans="1:3" s="1" customFormat="1" ht="19.75" customHeight="1" x14ac:dyDescent="0.25">
      <c r="A577" s="7">
        <f>2019</f>
        <v>2019</v>
      </c>
      <c r="B577" s="2" t="s">
        <v>10</v>
      </c>
      <c r="C577" s="4">
        <v>7081.3270000000002</v>
      </c>
    </row>
    <row r="578" spans="1:3" s="1" customFormat="1" ht="19.75" customHeight="1" x14ac:dyDescent="0.25">
      <c r="A578" s="7">
        <f>2019</f>
        <v>2019</v>
      </c>
      <c r="B578" s="2" t="s">
        <v>11</v>
      </c>
      <c r="C578" s="3">
        <v>10468.6803</v>
      </c>
    </row>
    <row r="579" spans="1:3" s="1" customFormat="1" ht="19.75" customHeight="1" x14ac:dyDescent="0.25">
      <c r="A579" s="7">
        <f>2019</f>
        <v>2019</v>
      </c>
      <c r="B579" s="2" t="s">
        <v>106</v>
      </c>
      <c r="C579" s="4">
        <v>3727.5138999999999</v>
      </c>
    </row>
    <row r="580" spans="1:3" s="1" customFormat="1" ht="19.75" customHeight="1" x14ac:dyDescent="0.25">
      <c r="A580" s="7">
        <f>2019</f>
        <v>2019</v>
      </c>
      <c r="B580" s="2" t="s">
        <v>110</v>
      </c>
      <c r="C580" s="3">
        <v>4852.9477999999999</v>
      </c>
    </row>
    <row r="581" spans="1:3" s="1" customFormat="1" ht="19.75" customHeight="1" x14ac:dyDescent="0.25">
      <c r="A581" s="7">
        <f>2019</f>
        <v>2019</v>
      </c>
      <c r="B581" s="2" t="s">
        <v>12</v>
      </c>
      <c r="C581" s="4">
        <v>14328.497100000001</v>
      </c>
    </row>
    <row r="582" spans="1:3" s="1" customFormat="1" ht="19.75" customHeight="1" x14ac:dyDescent="0.25">
      <c r="A582" s="7">
        <f>2019</f>
        <v>2019</v>
      </c>
      <c r="B582" s="2" t="s">
        <v>13</v>
      </c>
      <c r="C582" s="3">
        <v>1796.6835000000001</v>
      </c>
    </row>
    <row r="583" spans="1:3" s="1" customFormat="1" ht="19.75" customHeight="1" x14ac:dyDescent="0.25">
      <c r="A583" s="7">
        <f>2019</f>
        <v>2019</v>
      </c>
      <c r="B583" s="2" t="s">
        <v>14</v>
      </c>
      <c r="C583" s="4">
        <v>557.14030000000002</v>
      </c>
    </row>
    <row r="584" spans="1:3" s="1" customFormat="1" ht="19.75" customHeight="1" x14ac:dyDescent="0.25">
      <c r="A584" s="7">
        <f>2019</f>
        <v>2019</v>
      </c>
      <c r="B584" s="2" t="s">
        <v>15</v>
      </c>
      <c r="C584" s="3">
        <v>210.77770000000001</v>
      </c>
    </row>
    <row r="585" spans="1:3" s="1" customFormat="1" ht="19.75" customHeight="1" x14ac:dyDescent="0.25">
      <c r="A585" s="7">
        <f>2019</f>
        <v>2019</v>
      </c>
      <c r="B585" s="2" t="s">
        <v>16</v>
      </c>
      <c r="C585" s="4">
        <v>321.23399999999998</v>
      </c>
    </row>
    <row r="586" spans="1:3" s="1" customFormat="1" ht="19.75" customHeight="1" x14ac:dyDescent="0.25">
      <c r="A586" s="7">
        <f>2019</f>
        <v>2019</v>
      </c>
      <c r="B586" s="2" t="s">
        <v>17</v>
      </c>
      <c r="C586" s="3">
        <v>83.256799999999998</v>
      </c>
    </row>
    <row r="587" spans="1:3" s="1" customFormat="1" ht="19.75" customHeight="1" x14ac:dyDescent="0.25">
      <c r="A587" s="7">
        <f>2019</f>
        <v>2019</v>
      </c>
      <c r="B587" s="2" t="s">
        <v>18</v>
      </c>
      <c r="C587" s="4">
        <v>1519.2137</v>
      </c>
    </row>
    <row r="588" spans="1:3" s="1" customFormat="1" ht="19.75" customHeight="1" x14ac:dyDescent="0.25">
      <c r="A588" s="7">
        <f>2019</f>
        <v>2019</v>
      </c>
      <c r="B588" s="2" t="s">
        <v>19</v>
      </c>
      <c r="C588" s="3">
        <v>18671.571599999999</v>
      </c>
    </row>
    <row r="589" spans="1:3" s="1" customFormat="1" ht="19.75" customHeight="1" x14ac:dyDescent="0.25">
      <c r="A589" s="7">
        <f>2019</f>
        <v>2019</v>
      </c>
      <c r="B589" s="2" t="s">
        <v>20</v>
      </c>
      <c r="C589" s="4">
        <v>20074.5975</v>
      </c>
    </row>
    <row r="590" spans="1:3" s="1" customFormat="1" ht="19.75" customHeight="1" x14ac:dyDescent="0.25">
      <c r="A590" s="7">
        <f>2019</f>
        <v>2019</v>
      </c>
      <c r="B590" s="2" t="s">
        <v>21</v>
      </c>
      <c r="C590" s="3">
        <v>19168.418600000001</v>
      </c>
    </row>
    <row r="591" spans="1:3" s="1" customFormat="1" ht="19.75" customHeight="1" x14ac:dyDescent="0.25">
      <c r="A591" s="7">
        <f>2019</f>
        <v>2019</v>
      </c>
      <c r="B591" s="2" t="s">
        <v>22</v>
      </c>
      <c r="C591" s="4">
        <v>108.61799999999999</v>
      </c>
    </row>
    <row r="592" spans="1:3" s="1" customFormat="1" ht="19.75" customHeight="1" x14ac:dyDescent="0.25">
      <c r="A592" s="7">
        <f>2019</f>
        <v>2019</v>
      </c>
      <c r="B592" s="2" t="s">
        <v>23</v>
      </c>
      <c r="C592" s="3">
        <v>4787.1211000000003</v>
      </c>
    </row>
    <row r="593" spans="1:3" s="1" customFormat="1" ht="19.75" customHeight="1" x14ac:dyDescent="0.25">
      <c r="A593" s="7">
        <f>2019</f>
        <v>2019</v>
      </c>
      <c r="B593" s="2" t="s">
        <v>24</v>
      </c>
      <c r="C593" s="4">
        <v>1253.0155</v>
      </c>
    </row>
    <row r="594" spans="1:3" s="1" customFormat="1" ht="19.75" customHeight="1" x14ac:dyDescent="0.25">
      <c r="A594" s="7">
        <f>2019</f>
        <v>2019</v>
      </c>
      <c r="B594" s="2" t="s">
        <v>25</v>
      </c>
      <c r="C594" s="3">
        <v>972.57079999999996</v>
      </c>
    </row>
    <row r="595" spans="1:3" s="1" customFormat="1" ht="19.75" customHeight="1" x14ac:dyDescent="0.25">
      <c r="A595" s="7">
        <f>2019</f>
        <v>2019</v>
      </c>
      <c r="B595" s="2" t="s">
        <v>26</v>
      </c>
      <c r="C595" s="4">
        <v>1499.9142999999999</v>
      </c>
    </row>
    <row r="596" spans="1:3" s="1" customFormat="1" ht="19.75" customHeight="1" x14ac:dyDescent="0.25">
      <c r="A596" s="7">
        <f>2019</f>
        <v>2019</v>
      </c>
      <c r="B596" s="2" t="s">
        <v>27</v>
      </c>
      <c r="C596" s="3">
        <v>3482.8534</v>
      </c>
    </row>
    <row r="597" spans="1:3" s="1" customFormat="1" ht="19.75" customHeight="1" x14ac:dyDescent="0.25">
      <c r="A597" s="7">
        <f>2019</f>
        <v>2019</v>
      </c>
      <c r="B597" s="2" t="s">
        <v>107</v>
      </c>
      <c r="C597" s="4">
        <v>882.13099999999997</v>
      </c>
    </row>
    <row r="598" spans="1:3" s="1" customFormat="1" ht="19.75" customHeight="1" x14ac:dyDescent="0.25">
      <c r="A598" s="7">
        <f>2019</f>
        <v>2019</v>
      </c>
      <c r="B598" s="2" t="s">
        <v>28</v>
      </c>
      <c r="C598" s="3">
        <v>82.42</v>
      </c>
    </row>
    <row r="599" spans="1:3" s="1" customFormat="1" ht="19.75" customHeight="1" x14ac:dyDescent="0.25">
      <c r="A599" s="7">
        <f>2019</f>
        <v>2019</v>
      </c>
      <c r="B599" s="2" t="s">
        <v>29</v>
      </c>
      <c r="C599" s="4">
        <v>1072.8806999999999</v>
      </c>
    </row>
    <row r="600" spans="1:3" s="1" customFormat="1" ht="19.75" customHeight="1" x14ac:dyDescent="0.25">
      <c r="A600" s="7">
        <f>2019</f>
        <v>2019</v>
      </c>
      <c r="B600" s="2" t="s">
        <v>30</v>
      </c>
      <c r="C600" s="3">
        <v>991.45240000000001</v>
      </c>
    </row>
    <row r="601" spans="1:3" s="1" customFormat="1" ht="19.75" customHeight="1" x14ac:dyDescent="0.25">
      <c r="A601" s="7">
        <f>2019</f>
        <v>2019</v>
      </c>
      <c r="B601" s="2" t="s">
        <v>31</v>
      </c>
      <c r="C601" s="4">
        <v>625.6866</v>
      </c>
    </row>
    <row r="602" spans="1:3" s="1" customFormat="1" ht="19.75" customHeight="1" x14ac:dyDescent="0.25">
      <c r="A602" s="7">
        <f>2019</f>
        <v>2019</v>
      </c>
      <c r="B602" s="2" t="s">
        <v>32</v>
      </c>
      <c r="C602" s="3">
        <v>6414.6283000000003</v>
      </c>
    </row>
    <row r="603" spans="1:3" s="1" customFormat="1" ht="19.75" customHeight="1" x14ac:dyDescent="0.25">
      <c r="A603" s="7">
        <f>2019</f>
        <v>2019</v>
      </c>
      <c r="B603" s="2" t="s">
        <v>93</v>
      </c>
      <c r="C603" s="4">
        <v>9.3291000000000004</v>
      </c>
    </row>
    <row r="604" spans="1:3" s="1" customFormat="1" ht="19.75" customHeight="1" x14ac:dyDescent="0.25">
      <c r="A604" s="7">
        <f>2019</f>
        <v>2019</v>
      </c>
      <c r="B604" s="2" t="s">
        <v>98</v>
      </c>
      <c r="C604" s="3">
        <v>9.4480000000000004</v>
      </c>
    </row>
    <row r="605" spans="1:3" s="1" customFormat="1" ht="19.75" customHeight="1" x14ac:dyDescent="0.25">
      <c r="A605" s="7">
        <f>2019</f>
        <v>2019</v>
      </c>
      <c r="B605" s="2" t="s">
        <v>34</v>
      </c>
      <c r="C605" s="4">
        <v>253.4761</v>
      </c>
    </row>
    <row r="606" spans="1:3" s="1" customFormat="1" ht="19.75" customHeight="1" x14ac:dyDescent="0.25">
      <c r="A606" s="7">
        <f>2019</f>
        <v>2019</v>
      </c>
      <c r="B606" s="2" t="s">
        <v>35</v>
      </c>
      <c r="C606" s="3">
        <v>109.33159999999999</v>
      </c>
    </row>
    <row r="607" spans="1:3" s="1" customFormat="1" ht="19.75" customHeight="1" x14ac:dyDescent="0.25">
      <c r="A607" s="7">
        <f>2019</f>
        <v>2019</v>
      </c>
      <c r="B607" s="2" t="s">
        <v>36</v>
      </c>
      <c r="C607" s="4">
        <v>701.81370000000004</v>
      </c>
    </row>
    <row r="608" spans="1:3" s="1" customFormat="1" ht="19.75" customHeight="1" x14ac:dyDescent="0.25">
      <c r="A608" s="7">
        <f>2019</f>
        <v>2019</v>
      </c>
      <c r="B608" s="2" t="s">
        <v>37</v>
      </c>
      <c r="C608" s="3">
        <v>28.132200000000001</v>
      </c>
    </row>
    <row r="609" spans="1:3" s="1" customFormat="1" ht="19.75" customHeight="1" x14ac:dyDescent="0.25">
      <c r="A609" s="7">
        <f>2019</f>
        <v>2019</v>
      </c>
      <c r="B609" s="2" t="s">
        <v>38</v>
      </c>
      <c r="C609" s="4">
        <v>14.299604</v>
      </c>
    </row>
    <row r="610" spans="1:3" s="1" customFormat="1" ht="19.75" customHeight="1" x14ac:dyDescent="0.25">
      <c r="A610" s="7">
        <f>2019</f>
        <v>2019</v>
      </c>
      <c r="B610" s="2" t="s">
        <v>40</v>
      </c>
      <c r="C610" s="3">
        <v>33.304900000000004</v>
      </c>
    </row>
    <row r="611" spans="1:3" s="1" customFormat="1" ht="19.75" customHeight="1" x14ac:dyDescent="0.25">
      <c r="A611" s="7">
        <f>2019</f>
        <v>2019</v>
      </c>
      <c r="B611" s="2" t="s">
        <v>41</v>
      </c>
      <c r="C611" s="4">
        <v>422.88229999999999</v>
      </c>
    </row>
    <row r="612" spans="1:3" s="1" customFormat="1" ht="19.75" customHeight="1" x14ac:dyDescent="0.25">
      <c r="A612" s="7">
        <f>2019</f>
        <v>2019</v>
      </c>
      <c r="B612" s="2" t="s">
        <v>42</v>
      </c>
      <c r="C612" s="3">
        <v>243.15260000000001</v>
      </c>
    </row>
    <row r="613" spans="1:3" s="1" customFormat="1" ht="19.75" customHeight="1" x14ac:dyDescent="0.25">
      <c r="A613" s="7">
        <f>2019</f>
        <v>2019</v>
      </c>
      <c r="B613" s="2" t="s">
        <v>43</v>
      </c>
      <c r="C613" s="4">
        <v>3213.65</v>
      </c>
    </row>
    <row r="614" spans="1:3" s="1" customFormat="1" ht="19.75" customHeight="1" x14ac:dyDescent="0.25">
      <c r="A614" s="7">
        <f>2019</f>
        <v>2019</v>
      </c>
      <c r="B614" s="2" t="s">
        <v>44</v>
      </c>
      <c r="C614" s="3">
        <v>-35.815300000000001</v>
      </c>
    </row>
    <row r="615" spans="1:3" s="1" customFormat="1" ht="19.75" customHeight="1" x14ac:dyDescent="0.25">
      <c r="A615" s="7">
        <f>2019</f>
        <v>2019</v>
      </c>
      <c r="B615" s="2" t="s">
        <v>45</v>
      </c>
      <c r="C615" s="4">
        <v>-91.907700000000006</v>
      </c>
    </row>
    <row r="616" spans="1:3" s="1" customFormat="1" ht="19.75" customHeight="1" x14ac:dyDescent="0.25">
      <c r="A616" s="7">
        <f>2019</f>
        <v>2019</v>
      </c>
      <c r="B616" s="2" t="s">
        <v>94</v>
      </c>
      <c r="C616" s="3">
        <v>199.97839999999999</v>
      </c>
    </row>
    <row r="617" spans="1:3" s="1" customFormat="1" ht="19.75" customHeight="1" x14ac:dyDescent="0.25">
      <c r="A617" s="7">
        <f>2019</f>
        <v>2019</v>
      </c>
      <c r="B617" s="2" t="s">
        <v>46</v>
      </c>
      <c r="C617" s="4">
        <v>10.730499999999999</v>
      </c>
    </row>
    <row r="618" spans="1:3" s="1" customFormat="1" ht="19.75" customHeight="1" x14ac:dyDescent="0.25">
      <c r="A618" s="7">
        <f>2019</f>
        <v>2019</v>
      </c>
      <c r="B618" s="2" t="s">
        <v>47</v>
      </c>
      <c r="C618" s="3">
        <v>-9.2598000000000003</v>
      </c>
    </row>
    <row r="619" spans="1:3" s="1" customFormat="1" ht="19.75" customHeight="1" x14ac:dyDescent="0.25">
      <c r="A619" s="7">
        <f>2019</f>
        <v>2019</v>
      </c>
      <c r="B619" s="2" t="s">
        <v>48</v>
      </c>
      <c r="C619" s="4">
        <v>1287.6074000000001</v>
      </c>
    </row>
    <row r="620" spans="1:3" s="1" customFormat="1" ht="19.75" customHeight="1" x14ac:dyDescent="0.25">
      <c r="A620" s="7">
        <f>2019</f>
        <v>2019</v>
      </c>
      <c r="B620" s="2" t="s">
        <v>49</v>
      </c>
      <c r="C620" s="3">
        <v>0.66920000000000002</v>
      </c>
    </row>
    <row r="621" spans="1:3" s="1" customFormat="1" ht="19.75" customHeight="1" x14ac:dyDescent="0.25">
      <c r="A621" s="7">
        <f>2019</f>
        <v>2019</v>
      </c>
      <c r="B621" s="2" t="s">
        <v>50</v>
      </c>
      <c r="C621" s="4">
        <v>0.30049999999999999</v>
      </c>
    </row>
    <row r="622" spans="1:3" s="1" customFormat="1" ht="19.75" customHeight="1" x14ac:dyDescent="0.25">
      <c r="A622" s="7">
        <f>2019</f>
        <v>2019</v>
      </c>
      <c r="B622" s="2" t="s">
        <v>51</v>
      </c>
      <c r="C622" s="3">
        <v>54.3003</v>
      </c>
    </row>
    <row r="623" spans="1:3" s="1" customFormat="1" ht="19.75" customHeight="1" x14ac:dyDescent="0.25">
      <c r="A623" s="7">
        <f>2019</f>
        <v>2019</v>
      </c>
      <c r="B623" s="2" t="s">
        <v>52</v>
      </c>
      <c r="C623" s="4">
        <v>6.4009</v>
      </c>
    </row>
    <row r="624" spans="1:3" s="1" customFormat="1" ht="19.75" customHeight="1" x14ac:dyDescent="0.25">
      <c r="A624" s="7">
        <f>2019</f>
        <v>2019</v>
      </c>
      <c r="B624" s="2" t="s">
        <v>99</v>
      </c>
      <c r="C624" s="3">
        <v>1946.7089000000001</v>
      </c>
    </row>
    <row r="625" spans="1:3" s="1" customFormat="1" ht="19.75" customHeight="1" x14ac:dyDescent="0.25">
      <c r="A625" s="7">
        <f>2019</f>
        <v>2019</v>
      </c>
      <c r="B625" s="2" t="s">
        <v>53</v>
      </c>
      <c r="C625" s="4">
        <v>20.404800000000002</v>
      </c>
    </row>
    <row r="626" spans="1:3" s="1" customFormat="1" ht="19.75" customHeight="1" x14ac:dyDescent="0.25">
      <c r="A626" s="7">
        <f>2019</f>
        <v>2019</v>
      </c>
      <c r="B626" s="2" t="s">
        <v>54</v>
      </c>
      <c r="C626" s="3">
        <v>10.277200000000001</v>
      </c>
    </row>
    <row r="627" spans="1:3" s="1" customFormat="1" ht="19.75" customHeight="1" x14ac:dyDescent="0.25">
      <c r="A627" s="7">
        <f>2019</f>
        <v>2019</v>
      </c>
      <c r="B627" s="2" t="s">
        <v>55</v>
      </c>
      <c r="C627" s="4">
        <v>1020.6636</v>
      </c>
    </row>
    <row r="628" spans="1:3" s="1" customFormat="1" ht="19.75" customHeight="1" x14ac:dyDescent="0.25">
      <c r="A628" s="7">
        <f>2019</f>
        <v>2019</v>
      </c>
      <c r="B628" s="2" t="s">
        <v>56</v>
      </c>
      <c r="C628" s="5" t="s">
        <v>77</v>
      </c>
    </row>
    <row r="629" spans="1:3" s="1" customFormat="1" ht="19.75" customHeight="1" x14ac:dyDescent="0.25">
      <c r="A629" s="7">
        <f>2019</f>
        <v>2019</v>
      </c>
      <c r="B629" s="2" t="s">
        <v>57</v>
      </c>
      <c r="C629" s="4">
        <v>42.564700000000002</v>
      </c>
    </row>
    <row r="630" spans="1:3" s="1" customFormat="1" ht="19.75" customHeight="1" x14ac:dyDescent="0.25">
      <c r="A630" s="7">
        <f>2019</f>
        <v>2019</v>
      </c>
      <c r="B630" s="2" t="s">
        <v>95</v>
      </c>
      <c r="C630" s="3">
        <v>6.0445000000000002</v>
      </c>
    </row>
    <row r="631" spans="1:3" s="1" customFormat="1" ht="19.75" customHeight="1" x14ac:dyDescent="0.25">
      <c r="A631" s="7">
        <f>2019</f>
        <v>2019</v>
      </c>
      <c r="B631" s="2" t="s">
        <v>59</v>
      </c>
      <c r="C631" s="4">
        <v>14.2026</v>
      </c>
    </row>
    <row r="632" spans="1:3" s="1" customFormat="1" ht="19.75" customHeight="1" x14ac:dyDescent="0.25">
      <c r="A632" s="7">
        <f>2019</f>
        <v>2019</v>
      </c>
      <c r="B632" s="2" t="s">
        <v>60</v>
      </c>
      <c r="C632" s="3">
        <v>203.12010000000001</v>
      </c>
    </row>
    <row r="633" spans="1:3" s="1" customFormat="1" ht="19.75" customHeight="1" x14ac:dyDescent="0.25">
      <c r="A633" s="7">
        <f>2019</f>
        <v>2019</v>
      </c>
      <c r="B633" s="2" t="s">
        <v>61</v>
      </c>
      <c r="C633" s="4">
        <v>273.53730000000002</v>
      </c>
    </row>
    <row r="634" spans="1:3" s="1" customFormat="1" ht="19.75" customHeight="1" x14ac:dyDescent="0.25">
      <c r="A634" s="7">
        <f>2019</f>
        <v>2019</v>
      </c>
      <c r="B634" s="2" t="s">
        <v>111</v>
      </c>
      <c r="C634" s="3">
        <v>9.8038000000000007</v>
      </c>
    </row>
    <row r="635" spans="1:3" s="1" customFormat="1" ht="19.75" customHeight="1" x14ac:dyDescent="0.25">
      <c r="A635" s="7">
        <f>2019</f>
        <v>2019</v>
      </c>
      <c r="B635" s="2" t="s">
        <v>64</v>
      </c>
      <c r="C635" s="4">
        <v>0.12590000000000001</v>
      </c>
    </row>
    <row r="636" spans="1:3" s="1" customFormat="1" ht="19.75" customHeight="1" x14ac:dyDescent="0.25">
      <c r="A636" s="7">
        <f>2019</f>
        <v>2019</v>
      </c>
      <c r="B636" s="2" t="s">
        <v>65</v>
      </c>
      <c r="C636" s="3">
        <v>2.1760999999999999</v>
      </c>
    </row>
    <row r="637" spans="1:3" s="1" customFormat="1" ht="19.75" customHeight="1" x14ac:dyDescent="0.25">
      <c r="A637" s="7">
        <f>2019</f>
        <v>2019</v>
      </c>
      <c r="B637" s="2" t="s">
        <v>66</v>
      </c>
      <c r="C637" s="4">
        <v>18.440000000000001</v>
      </c>
    </row>
    <row r="638" spans="1:3" s="1" customFormat="1" ht="19.75" customHeight="1" x14ac:dyDescent="0.25">
      <c r="A638" s="7">
        <f>2019</f>
        <v>2019</v>
      </c>
      <c r="B638" s="2" t="s">
        <v>67</v>
      </c>
      <c r="C638" s="3">
        <v>3.9456000000000002</v>
      </c>
    </row>
    <row r="639" spans="1:3" s="1" customFormat="1" ht="19.75" customHeight="1" x14ac:dyDescent="0.25">
      <c r="A639" s="7">
        <f>2019</f>
        <v>2019</v>
      </c>
      <c r="B639" s="2" t="s">
        <v>68</v>
      </c>
      <c r="C639" s="4">
        <v>69.611000000000004</v>
      </c>
    </row>
    <row r="640" spans="1:3" s="1" customFormat="1" ht="19.75" customHeight="1" x14ac:dyDescent="0.25">
      <c r="A640" s="7">
        <f>2019</f>
        <v>2019</v>
      </c>
      <c r="B640" s="2" t="s">
        <v>69</v>
      </c>
      <c r="C640" s="3">
        <v>95.868899999999996</v>
      </c>
    </row>
    <row r="641" spans="1:3" s="1" customFormat="1" ht="19.75" customHeight="1" x14ac:dyDescent="0.25">
      <c r="A641" s="7">
        <f>2019</f>
        <v>2019</v>
      </c>
      <c r="B641" s="2" t="s">
        <v>96</v>
      </c>
      <c r="C641" s="4">
        <v>2.673</v>
      </c>
    </row>
    <row r="642" spans="1:3" s="1" customFormat="1" ht="19.75" customHeight="1" x14ac:dyDescent="0.25">
      <c r="A642" s="7">
        <f>2019</f>
        <v>2019</v>
      </c>
      <c r="B642" s="2" t="s">
        <v>71</v>
      </c>
      <c r="C642" s="3">
        <v>1761.2328</v>
      </c>
    </row>
    <row r="643" spans="1:3" s="1" customFormat="1" ht="19.75" customHeight="1" x14ac:dyDescent="0.25">
      <c r="A643" s="7">
        <f>2019</f>
        <v>2019</v>
      </c>
      <c r="B643" s="2" t="s">
        <v>72</v>
      </c>
      <c r="C643" s="4">
        <v>135.35650000000001</v>
      </c>
    </row>
    <row r="644" spans="1:3" s="1" customFormat="1" ht="19.75" customHeight="1" x14ac:dyDescent="0.25">
      <c r="A644" s="7">
        <f>2019</f>
        <v>2019</v>
      </c>
      <c r="B644" s="2" t="s">
        <v>75</v>
      </c>
      <c r="C644" s="3">
        <v>65.371399999999994</v>
      </c>
    </row>
    <row r="645" spans="1:3" s="1" customFormat="1" ht="19.75" customHeight="1" x14ac:dyDescent="0.25">
      <c r="A645" s="7">
        <f>2019</f>
        <v>2019</v>
      </c>
      <c r="B645" s="2" t="s">
        <v>108</v>
      </c>
      <c r="C645" s="4">
        <v>13.8024</v>
      </c>
    </row>
    <row r="646" spans="1:3" s="1" customFormat="1" ht="19.75" customHeight="1" x14ac:dyDescent="0.25">
      <c r="A646" s="7">
        <f>2019</f>
        <v>2019</v>
      </c>
      <c r="B646" s="2" t="s">
        <v>76</v>
      </c>
      <c r="C646" s="3">
        <v>23.6843</v>
      </c>
    </row>
    <row r="647" spans="1:3" s="1" customFormat="1" ht="19.75" customHeight="1" x14ac:dyDescent="0.25">
      <c r="A647" s="7">
        <f>2019</f>
        <v>2019</v>
      </c>
      <c r="B647" s="2" t="s">
        <v>100</v>
      </c>
      <c r="C647" s="4">
        <v>18.363600000000002</v>
      </c>
    </row>
    <row r="648" spans="1:3" s="1" customFormat="1" ht="19.75" customHeight="1" x14ac:dyDescent="0.25">
      <c r="A648" s="7">
        <f>2019</f>
        <v>2019</v>
      </c>
      <c r="B648" s="2" t="s">
        <v>78</v>
      </c>
      <c r="C648" s="3">
        <v>340.09910000000002</v>
      </c>
    </row>
    <row r="649" spans="1:3" s="1" customFormat="1" ht="19.75" customHeight="1" x14ac:dyDescent="0.25">
      <c r="A649" s="7">
        <f>2019</f>
        <v>2019</v>
      </c>
      <c r="B649" s="2" t="s">
        <v>79</v>
      </c>
      <c r="C649" s="4">
        <v>14.8629</v>
      </c>
    </row>
    <row r="650" spans="1:3" s="1" customFormat="1" ht="19.75" customHeight="1" x14ac:dyDescent="0.25">
      <c r="A650" s="7">
        <f>2019</f>
        <v>2019</v>
      </c>
      <c r="B650" s="2" t="s">
        <v>80</v>
      </c>
      <c r="C650" s="3">
        <v>215.5788</v>
      </c>
    </row>
    <row r="651" spans="1:3" s="1" customFormat="1" ht="19.75" customHeight="1" x14ac:dyDescent="0.25">
      <c r="A651" s="7">
        <f>2019</f>
        <v>2019</v>
      </c>
      <c r="B651" s="2" t="s">
        <v>81</v>
      </c>
      <c r="C651" s="4">
        <v>138.82929999999999</v>
      </c>
    </row>
    <row r="652" spans="1:3" s="1" customFormat="1" ht="19.75" customHeight="1" x14ac:dyDescent="0.25">
      <c r="A652" s="7">
        <f>2019</f>
        <v>2019</v>
      </c>
      <c r="B652" s="2" t="s">
        <v>85</v>
      </c>
      <c r="C652" s="3">
        <v>125.61020000000001</v>
      </c>
    </row>
    <row r="653" spans="1:3" s="1" customFormat="1" ht="19.75" customHeight="1" x14ac:dyDescent="0.25">
      <c r="A653" s="7">
        <f>2019</f>
        <v>2019</v>
      </c>
      <c r="B653" s="2" t="s">
        <v>86</v>
      </c>
      <c r="C653" s="4">
        <v>109.8038</v>
      </c>
    </row>
    <row r="654" spans="1:3" s="1" customFormat="1" ht="19.75" customHeight="1" x14ac:dyDescent="0.25">
      <c r="A654" s="7">
        <f>2019</f>
        <v>2019</v>
      </c>
      <c r="B654" s="2" t="s">
        <v>88</v>
      </c>
      <c r="C654" s="3">
        <v>136.63900000000001</v>
      </c>
    </row>
    <row r="655" spans="1:3" s="1" customFormat="1" ht="19.75" customHeight="1" x14ac:dyDescent="0.25">
      <c r="A655" s="7">
        <f>2018</f>
        <v>2018</v>
      </c>
      <c r="B655" s="2" t="s">
        <v>101</v>
      </c>
      <c r="C655" s="4">
        <v>8112.6918999999998</v>
      </c>
    </row>
    <row r="656" spans="1:3" s="1" customFormat="1" ht="19.75" customHeight="1" x14ac:dyDescent="0.25">
      <c r="A656" s="7">
        <f>2018</f>
        <v>2018</v>
      </c>
      <c r="B656" s="2" t="s">
        <v>102</v>
      </c>
      <c r="C656" s="3">
        <v>8773.5593000000008</v>
      </c>
    </row>
    <row r="657" spans="1:3" s="1" customFormat="1" ht="19.75" customHeight="1" x14ac:dyDescent="0.25">
      <c r="A657" s="7">
        <f>2018</f>
        <v>2018</v>
      </c>
      <c r="B657" s="2" t="s">
        <v>0</v>
      </c>
      <c r="C657" s="4">
        <v>14437.370199999999</v>
      </c>
    </row>
    <row r="658" spans="1:3" s="1" customFormat="1" ht="19.75" customHeight="1" x14ac:dyDescent="0.25">
      <c r="A658" s="7">
        <f>2018</f>
        <v>2018</v>
      </c>
      <c r="B658" s="2" t="s">
        <v>1</v>
      </c>
      <c r="C658" s="3">
        <v>13182.6306</v>
      </c>
    </row>
    <row r="659" spans="1:3" s="1" customFormat="1" ht="19.75" customHeight="1" x14ac:dyDescent="0.25">
      <c r="A659" s="7">
        <f>2018</f>
        <v>2018</v>
      </c>
      <c r="B659" s="2" t="s">
        <v>2</v>
      </c>
      <c r="C659" s="4">
        <v>3337.0463</v>
      </c>
    </row>
    <row r="660" spans="1:3" s="1" customFormat="1" ht="19.75" customHeight="1" x14ac:dyDescent="0.25">
      <c r="A660" s="7">
        <f>2018</f>
        <v>2018</v>
      </c>
      <c r="B660" s="2" t="s">
        <v>3</v>
      </c>
      <c r="C660" s="3">
        <v>13770.4797</v>
      </c>
    </row>
    <row r="661" spans="1:3" s="1" customFormat="1" ht="19.75" customHeight="1" x14ac:dyDescent="0.25">
      <c r="A661" s="7">
        <f>2018</f>
        <v>2018</v>
      </c>
      <c r="B661" s="2" t="s">
        <v>4</v>
      </c>
      <c r="C661" s="4">
        <v>7837.8890000000001</v>
      </c>
    </row>
    <row r="662" spans="1:3" s="1" customFormat="1" ht="19.75" customHeight="1" x14ac:dyDescent="0.25">
      <c r="A662" s="7">
        <f>2018</f>
        <v>2018</v>
      </c>
      <c r="B662" s="2" t="s">
        <v>103</v>
      </c>
      <c r="C662" s="3">
        <v>8004.3594999999996</v>
      </c>
    </row>
    <row r="663" spans="1:3" s="1" customFormat="1" ht="19.75" customHeight="1" x14ac:dyDescent="0.25">
      <c r="A663" s="7">
        <f>2018</f>
        <v>2018</v>
      </c>
      <c r="B663" s="2" t="s">
        <v>109</v>
      </c>
      <c r="C663" s="4">
        <v>3094.3101000000001</v>
      </c>
    </row>
    <row r="664" spans="1:3" s="1" customFormat="1" ht="19.75" customHeight="1" x14ac:dyDescent="0.25">
      <c r="A664" s="7">
        <f>2018</f>
        <v>2018</v>
      </c>
      <c r="B664" s="2" t="s">
        <v>5</v>
      </c>
      <c r="C664" s="3">
        <v>3741.9971</v>
      </c>
    </row>
    <row r="665" spans="1:3" s="1" customFormat="1" ht="19.75" customHeight="1" x14ac:dyDescent="0.25">
      <c r="A665" s="7">
        <f>2018</f>
        <v>2018</v>
      </c>
      <c r="B665" s="2" t="s">
        <v>6</v>
      </c>
      <c r="C665" s="4">
        <v>9928.5751999999993</v>
      </c>
    </row>
    <row r="666" spans="1:3" s="1" customFormat="1" ht="19.75" customHeight="1" x14ac:dyDescent="0.25">
      <c r="A666" s="7">
        <f>2018</f>
        <v>2018</v>
      </c>
      <c r="B666" s="2" t="s">
        <v>104</v>
      </c>
      <c r="C666" s="3">
        <v>9574.9174000000003</v>
      </c>
    </row>
    <row r="667" spans="1:3" s="1" customFormat="1" ht="19.75" customHeight="1" x14ac:dyDescent="0.25">
      <c r="A667" s="7">
        <f>2018</f>
        <v>2018</v>
      </c>
      <c r="B667" s="2" t="s">
        <v>7</v>
      </c>
      <c r="C667" s="4">
        <v>1888.5112999999999</v>
      </c>
    </row>
    <row r="668" spans="1:3" s="1" customFormat="1" ht="19.75" customHeight="1" x14ac:dyDescent="0.25">
      <c r="A668" s="7">
        <f>2018</f>
        <v>2018</v>
      </c>
      <c r="B668" s="2" t="s">
        <v>8</v>
      </c>
      <c r="C668" s="3">
        <v>22577.018199999999</v>
      </c>
    </row>
    <row r="669" spans="1:3" s="1" customFormat="1" ht="19.75" customHeight="1" x14ac:dyDescent="0.25">
      <c r="A669" s="7">
        <f>2018</f>
        <v>2018</v>
      </c>
      <c r="B669" s="2" t="s">
        <v>9</v>
      </c>
      <c r="C669" s="4">
        <v>66058.41</v>
      </c>
    </row>
    <row r="670" spans="1:3" s="1" customFormat="1" ht="19.75" customHeight="1" x14ac:dyDescent="0.25">
      <c r="A670" s="7">
        <f>2018</f>
        <v>2018</v>
      </c>
      <c r="B670" s="2" t="s">
        <v>105</v>
      </c>
      <c r="C670" s="3">
        <v>7086.6929</v>
      </c>
    </row>
    <row r="671" spans="1:3" s="1" customFormat="1" ht="19.75" customHeight="1" x14ac:dyDescent="0.25">
      <c r="A671" s="7">
        <f>2018</f>
        <v>2018</v>
      </c>
      <c r="B671" s="2" t="s">
        <v>10</v>
      </c>
      <c r="C671" s="4">
        <v>5770.6095999999998</v>
      </c>
    </row>
    <row r="672" spans="1:3" s="1" customFormat="1" ht="19.75" customHeight="1" x14ac:dyDescent="0.25">
      <c r="A672" s="7">
        <f>2018</f>
        <v>2018</v>
      </c>
      <c r="B672" s="2" t="s">
        <v>11</v>
      </c>
      <c r="C672" s="3">
        <v>12886.944100000001</v>
      </c>
    </row>
    <row r="673" spans="1:3" s="1" customFormat="1" ht="19.75" customHeight="1" x14ac:dyDescent="0.25">
      <c r="A673" s="7">
        <f>2018</f>
        <v>2018</v>
      </c>
      <c r="B673" s="2" t="s">
        <v>106</v>
      </c>
      <c r="C673" s="4">
        <v>2478.5063</v>
      </c>
    </row>
    <row r="674" spans="1:3" s="1" customFormat="1" ht="19.75" customHeight="1" x14ac:dyDescent="0.25">
      <c r="A674" s="7">
        <f>2018</f>
        <v>2018</v>
      </c>
      <c r="B674" s="2" t="s">
        <v>110</v>
      </c>
      <c r="C674" s="3">
        <v>2370.7786999999998</v>
      </c>
    </row>
    <row r="675" spans="1:3" s="1" customFormat="1" ht="19.75" customHeight="1" x14ac:dyDescent="0.25">
      <c r="A675" s="7">
        <f>2018</f>
        <v>2018</v>
      </c>
      <c r="B675" s="2" t="s">
        <v>21</v>
      </c>
      <c r="C675" s="4">
        <v>16147.1361</v>
      </c>
    </row>
    <row r="676" spans="1:3" s="1" customFormat="1" ht="19.75" customHeight="1" x14ac:dyDescent="0.25">
      <c r="A676" s="7">
        <f>2018</f>
        <v>2018</v>
      </c>
      <c r="B676" s="2" t="s">
        <v>12</v>
      </c>
      <c r="C676" s="3">
        <v>15318.795899999999</v>
      </c>
    </row>
    <row r="677" spans="1:3" s="1" customFormat="1" ht="19.75" customHeight="1" x14ac:dyDescent="0.25">
      <c r="A677" s="7">
        <f>2018</f>
        <v>2018</v>
      </c>
      <c r="B677" s="2" t="s">
        <v>13</v>
      </c>
      <c r="C677" s="4">
        <v>1084.5533399999999</v>
      </c>
    </row>
    <row r="678" spans="1:3" s="1" customFormat="1" ht="19.75" customHeight="1" x14ac:dyDescent="0.25">
      <c r="A678" s="7">
        <f>2018</f>
        <v>2018</v>
      </c>
      <c r="B678" s="2" t="s">
        <v>14</v>
      </c>
      <c r="C678" s="3">
        <v>615.75419999999997</v>
      </c>
    </row>
    <row r="679" spans="1:3" s="1" customFormat="1" ht="19.75" customHeight="1" x14ac:dyDescent="0.25">
      <c r="A679" s="7">
        <f>2018</f>
        <v>2018</v>
      </c>
      <c r="B679" s="2" t="s">
        <v>15</v>
      </c>
      <c r="C679" s="4">
        <v>171.7962</v>
      </c>
    </row>
    <row r="680" spans="1:3" s="1" customFormat="1" ht="19.75" customHeight="1" x14ac:dyDescent="0.25">
      <c r="A680" s="7">
        <f>2018</f>
        <v>2018</v>
      </c>
      <c r="B680" s="2" t="s">
        <v>16</v>
      </c>
      <c r="C680" s="3">
        <v>279.62819999999999</v>
      </c>
    </row>
    <row r="681" spans="1:3" s="1" customFormat="1" ht="19.75" customHeight="1" x14ac:dyDescent="0.25">
      <c r="A681" s="7">
        <f>2018</f>
        <v>2018</v>
      </c>
      <c r="B681" s="2" t="s">
        <v>17</v>
      </c>
      <c r="C681" s="4">
        <v>171.05430000000001</v>
      </c>
    </row>
    <row r="682" spans="1:3" s="1" customFormat="1" ht="19.75" customHeight="1" x14ac:dyDescent="0.25">
      <c r="A682" s="7">
        <f>2018</f>
        <v>2018</v>
      </c>
      <c r="B682" s="2" t="s">
        <v>18</v>
      </c>
      <c r="C682" s="3">
        <v>1412.182</v>
      </c>
    </row>
    <row r="683" spans="1:3" s="1" customFormat="1" ht="19.75" customHeight="1" x14ac:dyDescent="0.25">
      <c r="A683" s="7">
        <f>2018</f>
        <v>2018</v>
      </c>
      <c r="B683" s="2" t="s">
        <v>19</v>
      </c>
      <c r="C683" s="4">
        <v>15138.057500000001</v>
      </c>
    </row>
    <row r="684" spans="1:3" s="1" customFormat="1" ht="19.75" customHeight="1" x14ac:dyDescent="0.25">
      <c r="A684" s="7">
        <f>2018</f>
        <v>2018</v>
      </c>
      <c r="B684" s="2" t="s">
        <v>20</v>
      </c>
      <c r="C684" s="3">
        <v>17964.112000000001</v>
      </c>
    </row>
    <row r="685" spans="1:3" s="1" customFormat="1" ht="19.75" customHeight="1" x14ac:dyDescent="0.25">
      <c r="A685" s="7">
        <f>2018</f>
        <v>2018</v>
      </c>
      <c r="B685" s="2" t="s">
        <v>112</v>
      </c>
      <c r="C685" s="4">
        <v>404.09230000000002</v>
      </c>
    </row>
    <row r="686" spans="1:3" s="1" customFormat="1" ht="19.75" customHeight="1" x14ac:dyDescent="0.25">
      <c r="A686" s="7">
        <f>2018</f>
        <v>2018</v>
      </c>
      <c r="B686" s="2" t="s">
        <v>23</v>
      </c>
      <c r="C686" s="3">
        <v>3050.1163999999999</v>
      </c>
    </row>
    <row r="687" spans="1:3" s="1" customFormat="1" ht="19.75" customHeight="1" x14ac:dyDescent="0.25">
      <c r="A687" s="7">
        <f>2018</f>
        <v>2018</v>
      </c>
      <c r="B687" s="2" t="s">
        <v>24</v>
      </c>
      <c r="C687" s="4">
        <v>1179.1559</v>
      </c>
    </row>
    <row r="688" spans="1:3" s="1" customFormat="1" ht="19.75" customHeight="1" x14ac:dyDescent="0.25">
      <c r="A688" s="7">
        <f>2018</f>
        <v>2018</v>
      </c>
      <c r="B688" s="2" t="s">
        <v>25</v>
      </c>
      <c r="C688" s="3">
        <v>1147.5642</v>
      </c>
    </row>
    <row r="689" spans="1:3" s="1" customFormat="1" ht="19.75" customHeight="1" x14ac:dyDescent="0.25">
      <c r="A689" s="7">
        <f>2018</f>
        <v>2018</v>
      </c>
      <c r="B689" s="2" t="s">
        <v>26</v>
      </c>
      <c r="C689" s="4">
        <v>1431.6533999999999</v>
      </c>
    </row>
    <row r="690" spans="1:3" s="1" customFormat="1" ht="19.75" customHeight="1" x14ac:dyDescent="0.25">
      <c r="A690" s="7">
        <f>2018</f>
        <v>2018</v>
      </c>
      <c r="B690" s="2" t="s">
        <v>27</v>
      </c>
      <c r="C690" s="3">
        <v>3073.8703999999998</v>
      </c>
    </row>
    <row r="691" spans="1:3" s="1" customFormat="1" ht="19.75" customHeight="1" x14ac:dyDescent="0.25">
      <c r="A691" s="7">
        <f>2018</f>
        <v>2018</v>
      </c>
      <c r="B691" s="2" t="s">
        <v>107</v>
      </c>
      <c r="C691" s="4">
        <v>940.24490000000003</v>
      </c>
    </row>
    <row r="692" spans="1:3" s="1" customFormat="1" ht="19.75" customHeight="1" x14ac:dyDescent="0.25">
      <c r="A692" s="7">
        <f>2018</f>
        <v>2018</v>
      </c>
      <c r="B692" s="2" t="s">
        <v>28</v>
      </c>
      <c r="C692" s="3">
        <v>48.789200000000001</v>
      </c>
    </row>
    <row r="693" spans="1:3" s="1" customFormat="1" ht="19.75" customHeight="1" x14ac:dyDescent="0.25">
      <c r="A693" s="7">
        <f>2018</f>
        <v>2018</v>
      </c>
      <c r="B693" s="2" t="s">
        <v>29</v>
      </c>
      <c r="C693" s="4">
        <v>695.97659999999996</v>
      </c>
    </row>
    <row r="694" spans="1:3" s="1" customFormat="1" ht="19.75" customHeight="1" x14ac:dyDescent="0.25">
      <c r="A694" s="7">
        <f>2018</f>
        <v>2018</v>
      </c>
      <c r="B694" s="2" t="s">
        <v>30</v>
      </c>
      <c r="C694" s="3">
        <v>1145.8987</v>
      </c>
    </row>
    <row r="695" spans="1:3" s="1" customFormat="1" ht="19.75" customHeight="1" x14ac:dyDescent="0.25">
      <c r="A695" s="7">
        <f>2018</f>
        <v>2018</v>
      </c>
      <c r="B695" s="2" t="s">
        <v>31</v>
      </c>
      <c r="C695" s="4">
        <v>784.08529999999996</v>
      </c>
    </row>
    <row r="696" spans="1:3" s="1" customFormat="1" ht="19.75" customHeight="1" x14ac:dyDescent="0.25">
      <c r="A696" s="7">
        <f>2018</f>
        <v>2018</v>
      </c>
      <c r="B696" s="2" t="s">
        <v>32</v>
      </c>
      <c r="C696" s="3">
        <v>3523.5491999999999</v>
      </c>
    </row>
    <row r="697" spans="1:3" s="1" customFormat="1" ht="19.75" customHeight="1" x14ac:dyDescent="0.25">
      <c r="A697" s="7">
        <f>2018</f>
        <v>2018</v>
      </c>
      <c r="B697" s="2" t="s">
        <v>93</v>
      </c>
      <c r="C697" s="4">
        <v>7.1936999999999998</v>
      </c>
    </row>
    <row r="698" spans="1:3" s="1" customFormat="1" ht="19.75" customHeight="1" x14ac:dyDescent="0.25">
      <c r="A698" s="7">
        <f>2018</f>
        <v>2018</v>
      </c>
      <c r="B698" s="2" t="s">
        <v>98</v>
      </c>
      <c r="C698" s="3">
        <v>14.938499999999999</v>
      </c>
    </row>
    <row r="699" spans="1:3" s="1" customFormat="1" ht="19.75" customHeight="1" x14ac:dyDescent="0.25">
      <c r="A699" s="7">
        <f>2018</f>
        <v>2018</v>
      </c>
      <c r="B699" s="2" t="s">
        <v>34</v>
      </c>
      <c r="C699" s="4">
        <v>168.11750000000001</v>
      </c>
    </row>
    <row r="700" spans="1:3" s="1" customFormat="1" ht="19.75" customHeight="1" x14ac:dyDescent="0.25">
      <c r="A700" s="7">
        <f>2018</f>
        <v>2018</v>
      </c>
      <c r="B700" s="2" t="s">
        <v>35</v>
      </c>
      <c r="C700" s="3">
        <v>33.500500000000002</v>
      </c>
    </row>
    <row r="701" spans="1:3" s="1" customFormat="1" ht="19.75" customHeight="1" x14ac:dyDescent="0.25">
      <c r="A701" s="7">
        <f>2018</f>
        <v>2018</v>
      </c>
      <c r="B701" s="2" t="s">
        <v>36</v>
      </c>
      <c r="C701" s="4">
        <v>472.03199999999998</v>
      </c>
    </row>
    <row r="702" spans="1:3" s="1" customFormat="1" ht="19.75" customHeight="1" x14ac:dyDescent="0.25">
      <c r="A702" s="7">
        <f>2018</f>
        <v>2018</v>
      </c>
      <c r="B702" s="2" t="s">
        <v>37</v>
      </c>
      <c r="C702" s="3">
        <v>23.596399999999999</v>
      </c>
    </row>
    <row r="703" spans="1:3" s="1" customFormat="1" ht="19.75" customHeight="1" x14ac:dyDescent="0.25">
      <c r="A703" s="7">
        <f>2018</f>
        <v>2018</v>
      </c>
      <c r="B703" s="2" t="s">
        <v>38</v>
      </c>
      <c r="C703" s="4">
        <v>16.749099999999999</v>
      </c>
    </row>
    <row r="704" spans="1:3" s="1" customFormat="1" ht="19.75" customHeight="1" x14ac:dyDescent="0.25">
      <c r="A704" s="7">
        <f>2018</f>
        <v>2018</v>
      </c>
      <c r="B704" s="2" t="s">
        <v>40</v>
      </c>
      <c r="C704" s="3">
        <v>69.373999999999995</v>
      </c>
    </row>
    <row r="705" spans="1:3" s="1" customFormat="1" ht="19.75" customHeight="1" x14ac:dyDescent="0.25">
      <c r="A705" s="7">
        <f>2018</f>
        <v>2018</v>
      </c>
      <c r="B705" s="2" t="s">
        <v>41</v>
      </c>
      <c r="C705" s="4">
        <v>374.45650000000001</v>
      </c>
    </row>
    <row r="706" spans="1:3" s="1" customFormat="1" ht="19.75" customHeight="1" x14ac:dyDescent="0.25">
      <c r="A706" s="7">
        <f>2018</f>
        <v>2018</v>
      </c>
      <c r="B706" s="2" t="s">
        <v>42</v>
      </c>
      <c r="C706" s="3">
        <v>349.44279999999998</v>
      </c>
    </row>
    <row r="707" spans="1:3" s="1" customFormat="1" ht="19.75" customHeight="1" x14ac:dyDescent="0.25">
      <c r="A707" s="7">
        <f>2018</f>
        <v>2018</v>
      </c>
      <c r="B707" s="2" t="s">
        <v>43</v>
      </c>
      <c r="C707" s="4">
        <v>3428.99</v>
      </c>
    </row>
    <row r="708" spans="1:3" s="1" customFormat="1" ht="19.75" customHeight="1" x14ac:dyDescent="0.25">
      <c r="A708" s="7">
        <f>2018</f>
        <v>2018</v>
      </c>
      <c r="B708" s="2" t="s">
        <v>44</v>
      </c>
      <c r="C708" s="3">
        <v>308.10739999999998</v>
      </c>
    </row>
    <row r="709" spans="1:3" s="1" customFormat="1" ht="19.75" customHeight="1" x14ac:dyDescent="0.25">
      <c r="A709" s="7">
        <f>2018</f>
        <v>2018</v>
      </c>
      <c r="B709" s="2" t="s">
        <v>45</v>
      </c>
      <c r="C709" s="4">
        <v>347.03289999999998</v>
      </c>
    </row>
    <row r="710" spans="1:3" s="1" customFormat="1" ht="19.75" customHeight="1" x14ac:dyDescent="0.25">
      <c r="A710" s="7">
        <f>2018</f>
        <v>2018</v>
      </c>
      <c r="B710" s="2" t="s">
        <v>94</v>
      </c>
      <c r="C710" s="3">
        <v>86.9495</v>
      </c>
    </row>
    <row r="711" spans="1:3" s="1" customFormat="1" ht="19.75" customHeight="1" x14ac:dyDescent="0.25">
      <c r="A711" s="7">
        <f>2018</f>
        <v>2018</v>
      </c>
      <c r="B711" s="2" t="s">
        <v>46</v>
      </c>
      <c r="C711" s="4">
        <v>5.0140000000000002</v>
      </c>
    </row>
    <row r="712" spans="1:3" s="1" customFormat="1" ht="19.75" customHeight="1" x14ac:dyDescent="0.25">
      <c r="A712" s="7">
        <f>2018</f>
        <v>2018</v>
      </c>
      <c r="B712" s="2" t="s">
        <v>47</v>
      </c>
      <c r="C712" s="3">
        <v>528.58659999999998</v>
      </c>
    </row>
    <row r="713" spans="1:3" s="1" customFormat="1" ht="19.75" customHeight="1" x14ac:dyDescent="0.25">
      <c r="A713" s="7">
        <f>2018</f>
        <v>2018</v>
      </c>
      <c r="B713" s="2" t="s">
        <v>48</v>
      </c>
      <c r="C713" s="4">
        <v>1052.3255999999999</v>
      </c>
    </row>
    <row r="714" spans="1:3" s="1" customFormat="1" ht="19.75" customHeight="1" x14ac:dyDescent="0.25">
      <c r="A714" s="7">
        <f>2018</f>
        <v>2018</v>
      </c>
      <c r="B714" s="2" t="s">
        <v>49</v>
      </c>
      <c r="C714" s="3">
        <v>4.8079000000000001</v>
      </c>
    </row>
    <row r="715" spans="1:3" s="1" customFormat="1" ht="19.75" customHeight="1" x14ac:dyDescent="0.25">
      <c r="A715" s="7">
        <f>2018</f>
        <v>2018</v>
      </c>
      <c r="B715" s="2" t="s">
        <v>50</v>
      </c>
      <c r="C715" s="4">
        <v>3.2936999999999999</v>
      </c>
    </row>
    <row r="716" spans="1:3" s="1" customFormat="1" ht="19.75" customHeight="1" x14ac:dyDescent="0.25">
      <c r="A716" s="7">
        <f>2018</f>
        <v>2018</v>
      </c>
      <c r="B716" s="2" t="s">
        <v>51</v>
      </c>
      <c r="C716" s="3">
        <v>15.2113</v>
      </c>
    </row>
    <row r="717" spans="1:3" s="1" customFormat="1" ht="19.75" customHeight="1" x14ac:dyDescent="0.25">
      <c r="A717" s="7">
        <f>2018</f>
        <v>2018</v>
      </c>
      <c r="B717" s="2" t="s">
        <v>52</v>
      </c>
      <c r="C717" s="4">
        <v>-8.8446999999999996</v>
      </c>
    </row>
    <row r="718" spans="1:3" s="1" customFormat="1" ht="19.75" customHeight="1" x14ac:dyDescent="0.25">
      <c r="A718" s="7">
        <f>2018</f>
        <v>2018</v>
      </c>
      <c r="B718" s="2" t="s">
        <v>99</v>
      </c>
      <c r="C718" s="3">
        <v>1961.8140000000001</v>
      </c>
    </row>
    <row r="719" spans="1:3" s="1" customFormat="1" ht="19.75" customHeight="1" x14ac:dyDescent="0.25">
      <c r="A719" s="7">
        <f>2018</f>
        <v>2018</v>
      </c>
      <c r="B719" s="2" t="s">
        <v>53</v>
      </c>
      <c r="C719" s="4">
        <v>24.6449</v>
      </c>
    </row>
    <row r="720" spans="1:3" s="1" customFormat="1" ht="19.75" customHeight="1" x14ac:dyDescent="0.25">
      <c r="A720" s="7">
        <f>2018</f>
        <v>2018</v>
      </c>
      <c r="B720" s="2" t="s">
        <v>54</v>
      </c>
      <c r="C720" s="3">
        <v>5.7237</v>
      </c>
    </row>
    <row r="721" spans="1:3" s="1" customFormat="1" ht="19.75" customHeight="1" x14ac:dyDescent="0.25">
      <c r="A721" s="7">
        <f>2018</f>
        <v>2018</v>
      </c>
      <c r="B721" s="2" t="s">
        <v>55</v>
      </c>
      <c r="C721" s="4">
        <v>773.40920000000006</v>
      </c>
    </row>
    <row r="722" spans="1:3" s="1" customFormat="1" ht="19.75" customHeight="1" x14ac:dyDescent="0.25">
      <c r="A722" s="7">
        <f>2018</f>
        <v>2018</v>
      </c>
      <c r="B722" s="2" t="s">
        <v>56</v>
      </c>
      <c r="C722" s="3">
        <v>19.809999999999999</v>
      </c>
    </row>
    <row r="723" spans="1:3" s="1" customFormat="1" ht="19.75" customHeight="1" x14ac:dyDescent="0.25">
      <c r="A723" s="7">
        <f>2018</f>
        <v>2018</v>
      </c>
      <c r="B723" s="2" t="s">
        <v>57</v>
      </c>
      <c r="C723" s="4">
        <v>18.014099999999999</v>
      </c>
    </row>
    <row r="724" spans="1:3" s="1" customFormat="1" ht="19.75" customHeight="1" x14ac:dyDescent="0.25">
      <c r="A724" s="7">
        <f>2018</f>
        <v>2018</v>
      </c>
      <c r="B724" s="2" t="s">
        <v>95</v>
      </c>
      <c r="C724" s="3">
        <v>4.6961000000000004</v>
      </c>
    </row>
    <row r="725" spans="1:3" s="1" customFormat="1" ht="19.75" customHeight="1" x14ac:dyDescent="0.25">
      <c r="A725" s="7">
        <f>2018</f>
        <v>2018</v>
      </c>
      <c r="B725" s="2" t="s">
        <v>59</v>
      </c>
      <c r="C725" s="4">
        <v>11.811400000000001</v>
      </c>
    </row>
    <row r="726" spans="1:3" s="1" customFormat="1" ht="19.75" customHeight="1" x14ac:dyDescent="0.25">
      <c r="A726" s="7">
        <f>2018</f>
        <v>2018</v>
      </c>
      <c r="B726" s="2" t="s">
        <v>60</v>
      </c>
      <c r="C726" s="3">
        <v>181.5728</v>
      </c>
    </row>
    <row r="727" spans="1:3" s="1" customFormat="1" ht="19.75" customHeight="1" x14ac:dyDescent="0.25">
      <c r="A727" s="7">
        <f>2018</f>
        <v>2018</v>
      </c>
      <c r="B727" s="2" t="s">
        <v>61</v>
      </c>
      <c r="C727" s="4">
        <v>274.25110000000001</v>
      </c>
    </row>
    <row r="728" spans="1:3" s="1" customFormat="1" ht="19.75" customHeight="1" x14ac:dyDescent="0.25">
      <c r="A728" s="7">
        <f>2018</f>
        <v>2018</v>
      </c>
      <c r="B728" s="2" t="s">
        <v>111</v>
      </c>
      <c r="C728" s="3">
        <v>10.1637</v>
      </c>
    </row>
    <row r="729" spans="1:3" s="1" customFormat="1" ht="19.75" customHeight="1" x14ac:dyDescent="0.25">
      <c r="A729" s="7">
        <f>2018</f>
        <v>2018</v>
      </c>
      <c r="B729" s="2" t="s">
        <v>64</v>
      </c>
      <c r="C729" s="4">
        <v>-0.2722</v>
      </c>
    </row>
    <row r="730" spans="1:3" s="1" customFormat="1" ht="19.75" customHeight="1" x14ac:dyDescent="0.25">
      <c r="A730" s="7">
        <f>2018</f>
        <v>2018</v>
      </c>
      <c r="B730" s="2" t="s">
        <v>65</v>
      </c>
      <c r="C730" s="3">
        <v>-0.46289999999999998</v>
      </c>
    </row>
    <row r="731" spans="1:3" s="1" customFormat="1" ht="19.75" customHeight="1" x14ac:dyDescent="0.25">
      <c r="A731" s="7">
        <f>2018</f>
        <v>2018</v>
      </c>
      <c r="B731" s="2" t="s">
        <v>66</v>
      </c>
      <c r="C731" s="4">
        <v>26.569199999999999</v>
      </c>
    </row>
    <row r="732" spans="1:3" s="1" customFormat="1" ht="19.75" customHeight="1" x14ac:dyDescent="0.25">
      <c r="A732" s="7">
        <f>2018</f>
        <v>2018</v>
      </c>
      <c r="B732" s="2" t="s">
        <v>67</v>
      </c>
      <c r="C732" s="3">
        <v>136.66370000000001</v>
      </c>
    </row>
    <row r="733" spans="1:3" s="1" customFormat="1" ht="19.75" customHeight="1" x14ac:dyDescent="0.25">
      <c r="A733" s="7">
        <f>2018</f>
        <v>2018</v>
      </c>
      <c r="B733" s="2" t="s">
        <v>68</v>
      </c>
      <c r="C733" s="4">
        <v>51.647399999999998</v>
      </c>
    </row>
    <row r="734" spans="1:3" s="1" customFormat="1" ht="19.75" customHeight="1" x14ac:dyDescent="0.25">
      <c r="A734" s="7">
        <f>2018</f>
        <v>2018</v>
      </c>
      <c r="B734" s="2" t="s">
        <v>69</v>
      </c>
      <c r="C734" s="3">
        <v>79.571299999999994</v>
      </c>
    </row>
    <row r="735" spans="1:3" s="1" customFormat="1" ht="19.75" customHeight="1" x14ac:dyDescent="0.25">
      <c r="A735" s="7">
        <f>2018</f>
        <v>2018</v>
      </c>
      <c r="B735" s="2" t="s">
        <v>96</v>
      </c>
      <c r="C735" s="4">
        <v>2.8254000000000001</v>
      </c>
    </row>
    <row r="736" spans="1:3" s="1" customFormat="1" ht="19.75" customHeight="1" x14ac:dyDescent="0.25">
      <c r="A736" s="7">
        <f>2018</f>
        <v>2018</v>
      </c>
      <c r="B736" s="2" t="s">
        <v>71</v>
      </c>
      <c r="C736" s="3">
        <v>2207.1639</v>
      </c>
    </row>
    <row r="737" spans="1:3" s="1" customFormat="1" ht="19.75" customHeight="1" x14ac:dyDescent="0.25">
      <c r="A737" s="7">
        <f>2018</f>
        <v>2018</v>
      </c>
      <c r="B737" s="2" t="s">
        <v>72</v>
      </c>
      <c r="C737" s="4">
        <v>105.74769999999999</v>
      </c>
    </row>
    <row r="738" spans="1:3" s="1" customFormat="1" ht="19.75" customHeight="1" x14ac:dyDescent="0.25">
      <c r="A738" s="7">
        <f>2018</f>
        <v>2018</v>
      </c>
      <c r="B738" s="2" t="s">
        <v>75</v>
      </c>
      <c r="C738" s="3">
        <v>38.647799999999997</v>
      </c>
    </row>
    <row r="739" spans="1:3" s="1" customFormat="1" ht="19.75" customHeight="1" x14ac:dyDescent="0.25">
      <c r="A739" s="7">
        <f>2018</f>
        <v>2018</v>
      </c>
      <c r="B739" s="2" t="s">
        <v>108</v>
      </c>
      <c r="C739" s="4">
        <v>21.8049</v>
      </c>
    </row>
    <row r="740" spans="1:3" s="1" customFormat="1" ht="19.75" customHeight="1" x14ac:dyDescent="0.25">
      <c r="A740" s="7">
        <f>2018</f>
        <v>2018</v>
      </c>
      <c r="B740" s="2" t="s">
        <v>76</v>
      </c>
      <c r="C740" s="3">
        <v>13.235799999999999</v>
      </c>
    </row>
    <row r="741" spans="1:3" s="1" customFormat="1" ht="19.75" customHeight="1" x14ac:dyDescent="0.25">
      <c r="A741" s="7">
        <f>2018</f>
        <v>2018</v>
      </c>
      <c r="B741" s="2" t="s">
        <v>100</v>
      </c>
      <c r="C741" s="4">
        <v>123.0967</v>
      </c>
    </row>
    <row r="742" spans="1:3" s="1" customFormat="1" ht="19.75" customHeight="1" x14ac:dyDescent="0.25">
      <c r="A742" s="7">
        <f>2018</f>
        <v>2018</v>
      </c>
      <c r="B742" s="2" t="s">
        <v>78</v>
      </c>
      <c r="C742" s="3">
        <v>283.87270000000001</v>
      </c>
    </row>
    <row r="743" spans="1:3" s="1" customFormat="1" ht="19.75" customHeight="1" x14ac:dyDescent="0.25">
      <c r="A743" s="7">
        <f>2018</f>
        <v>2018</v>
      </c>
      <c r="B743" s="2" t="s">
        <v>79</v>
      </c>
      <c r="C743" s="4">
        <v>13.6751</v>
      </c>
    </row>
    <row r="744" spans="1:3" s="1" customFormat="1" ht="19.75" customHeight="1" x14ac:dyDescent="0.25">
      <c r="A744" s="7">
        <f>2018</f>
        <v>2018</v>
      </c>
      <c r="B744" s="2" t="s">
        <v>80</v>
      </c>
      <c r="C744" s="3">
        <v>188.81219999999999</v>
      </c>
    </row>
    <row r="745" spans="1:3" s="1" customFormat="1" ht="19.75" customHeight="1" x14ac:dyDescent="0.25">
      <c r="A745" s="7">
        <f>2018</f>
        <v>2018</v>
      </c>
      <c r="B745" s="2" t="s">
        <v>85</v>
      </c>
      <c r="C745" s="4">
        <v>60.269599999999997</v>
      </c>
    </row>
    <row r="746" spans="1:3" s="1" customFormat="1" ht="19.75" customHeight="1" x14ac:dyDescent="0.25">
      <c r="A746" s="7">
        <f>2018</f>
        <v>2018</v>
      </c>
      <c r="B746" s="2" t="s">
        <v>86</v>
      </c>
      <c r="C746" s="3">
        <v>312.75839999999999</v>
      </c>
    </row>
    <row r="747" spans="1:3" s="1" customFormat="1" ht="19.75" customHeight="1" x14ac:dyDescent="0.25">
      <c r="A747" s="7">
        <f>2018</f>
        <v>2018</v>
      </c>
      <c r="B747" s="2" t="s">
        <v>88</v>
      </c>
      <c r="C747" s="4">
        <v>138.596</v>
      </c>
    </row>
    <row r="748" spans="1:3" s="1" customFormat="1" ht="19.75" customHeight="1" x14ac:dyDescent="0.25">
      <c r="A748" s="7">
        <f>2017</f>
        <v>2017</v>
      </c>
      <c r="B748" s="2" t="s">
        <v>113</v>
      </c>
      <c r="C748" s="3">
        <v>3310.4747000000002</v>
      </c>
    </row>
    <row r="749" spans="1:3" s="1" customFormat="1" ht="19.75" customHeight="1" x14ac:dyDescent="0.25">
      <c r="A749" s="7">
        <f>2017</f>
        <v>2017</v>
      </c>
      <c r="B749" s="2" t="s">
        <v>114</v>
      </c>
      <c r="C749" s="4">
        <v>5670.1297999999997</v>
      </c>
    </row>
    <row r="750" spans="1:3" s="1" customFormat="1" ht="19.75" customHeight="1" x14ac:dyDescent="0.25">
      <c r="A750" s="7">
        <f>2017</f>
        <v>2017</v>
      </c>
      <c r="B750" s="2" t="s">
        <v>9</v>
      </c>
      <c r="C750" s="3">
        <v>40363.792500000003</v>
      </c>
    </row>
    <row r="751" spans="1:3" s="1" customFormat="1" ht="19.75" customHeight="1" x14ac:dyDescent="0.25">
      <c r="A751" s="7">
        <f>2017</f>
        <v>2017</v>
      </c>
      <c r="B751" s="2" t="s">
        <v>115</v>
      </c>
      <c r="C751" s="4">
        <v>2919.8393999999998</v>
      </c>
    </row>
    <row r="752" spans="1:3" s="1" customFormat="1" ht="19.75" customHeight="1" x14ac:dyDescent="0.25">
      <c r="A752" s="7">
        <f>2017</f>
        <v>2017</v>
      </c>
      <c r="B752" s="2" t="s">
        <v>116</v>
      </c>
      <c r="C752" s="3">
        <v>5034.2638999999999</v>
      </c>
    </row>
    <row r="753" spans="1:3" s="1" customFormat="1" ht="19.75" customHeight="1" x14ac:dyDescent="0.25">
      <c r="A753" s="7">
        <f>2017</f>
        <v>2017</v>
      </c>
      <c r="B753" s="2" t="s">
        <v>117</v>
      </c>
      <c r="C753" s="4">
        <v>3655.7876999999999</v>
      </c>
    </row>
    <row r="754" spans="1:3" s="1" customFormat="1" ht="19.75" customHeight="1" x14ac:dyDescent="0.25">
      <c r="A754" s="7">
        <f>2017</f>
        <v>2017</v>
      </c>
      <c r="B754" s="2" t="s">
        <v>101</v>
      </c>
      <c r="C754" s="3">
        <v>4180.2851000000001</v>
      </c>
    </row>
    <row r="755" spans="1:3" s="1" customFormat="1" ht="19.75" customHeight="1" x14ac:dyDescent="0.25">
      <c r="A755" s="7">
        <f>2017</f>
        <v>2017</v>
      </c>
      <c r="B755" s="2" t="s">
        <v>102</v>
      </c>
      <c r="C755" s="4">
        <v>4213.6234999999997</v>
      </c>
    </row>
    <row r="756" spans="1:3" s="1" customFormat="1" ht="19.75" customHeight="1" x14ac:dyDescent="0.25">
      <c r="A756" s="7">
        <f>2017</f>
        <v>2017</v>
      </c>
      <c r="B756" s="2" t="s">
        <v>0</v>
      </c>
      <c r="C756" s="3">
        <v>9591.9333000000006</v>
      </c>
    </row>
    <row r="757" spans="1:3" s="1" customFormat="1" ht="19.75" customHeight="1" x14ac:dyDescent="0.25">
      <c r="A757" s="7">
        <f>2017</f>
        <v>2017</v>
      </c>
      <c r="B757" s="2" t="s">
        <v>1</v>
      </c>
      <c r="C757" s="4">
        <v>11290.9653</v>
      </c>
    </row>
    <row r="758" spans="1:3" s="1" customFormat="1" ht="19.75" customHeight="1" x14ac:dyDescent="0.25">
      <c r="A758" s="7">
        <f>2017</f>
        <v>2017</v>
      </c>
      <c r="B758" s="2" t="s">
        <v>2</v>
      </c>
      <c r="C758" s="3">
        <v>3199.5761000000002</v>
      </c>
    </row>
    <row r="759" spans="1:3" s="1" customFormat="1" ht="19.75" customHeight="1" x14ac:dyDescent="0.25">
      <c r="A759" s="7">
        <f>2017</f>
        <v>2017</v>
      </c>
      <c r="B759" s="2" t="s">
        <v>118</v>
      </c>
      <c r="C759" s="4">
        <v>14.1556</v>
      </c>
    </row>
    <row r="760" spans="1:3" s="1" customFormat="1" ht="19.75" customHeight="1" x14ac:dyDescent="0.25">
      <c r="A760" s="7">
        <f>2017</f>
        <v>2017</v>
      </c>
      <c r="B760" s="2" t="s">
        <v>3</v>
      </c>
      <c r="C760" s="3">
        <v>7791.9718999999996</v>
      </c>
    </row>
    <row r="761" spans="1:3" s="1" customFormat="1" ht="19.75" customHeight="1" x14ac:dyDescent="0.25">
      <c r="A761" s="7">
        <f>2017</f>
        <v>2017</v>
      </c>
      <c r="B761" s="2" t="s">
        <v>4</v>
      </c>
      <c r="C761" s="4">
        <v>5527.7264999999998</v>
      </c>
    </row>
    <row r="762" spans="1:3" s="1" customFormat="1" ht="19.75" customHeight="1" x14ac:dyDescent="0.25">
      <c r="A762" s="7">
        <f>2017</f>
        <v>2017</v>
      </c>
      <c r="B762" s="2" t="s">
        <v>103</v>
      </c>
      <c r="C762" s="3">
        <v>3878.3229000000001</v>
      </c>
    </row>
    <row r="763" spans="1:3" s="1" customFormat="1" ht="19.75" customHeight="1" x14ac:dyDescent="0.25">
      <c r="A763" s="7">
        <f>2017</f>
        <v>2017</v>
      </c>
      <c r="B763" s="2" t="s">
        <v>109</v>
      </c>
      <c r="C763" s="4">
        <v>2253.8380000000002</v>
      </c>
    </row>
    <row r="764" spans="1:3" s="1" customFormat="1" ht="19.75" customHeight="1" x14ac:dyDescent="0.25">
      <c r="A764" s="7">
        <f>2017</f>
        <v>2017</v>
      </c>
      <c r="B764" s="2" t="s">
        <v>5</v>
      </c>
      <c r="C764" s="3">
        <v>2595.0297999999998</v>
      </c>
    </row>
    <row r="765" spans="1:3" s="1" customFormat="1" ht="19.75" customHeight="1" x14ac:dyDescent="0.25">
      <c r="A765" s="7">
        <f>2017</f>
        <v>2017</v>
      </c>
      <c r="B765" s="2" t="s">
        <v>6</v>
      </c>
      <c r="C765" s="4">
        <v>7066.9417000000003</v>
      </c>
    </row>
    <row r="766" spans="1:3" s="1" customFormat="1" ht="19.75" customHeight="1" x14ac:dyDescent="0.25">
      <c r="A766" s="7">
        <f>2017</f>
        <v>2017</v>
      </c>
      <c r="B766" s="2" t="s">
        <v>104</v>
      </c>
      <c r="C766" s="3">
        <v>5264.2019</v>
      </c>
    </row>
    <row r="767" spans="1:3" s="1" customFormat="1" ht="19.75" customHeight="1" x14ac:dyDescent="0.25">
      <c r="A767" s="7">
        <f>2017</f>
        <v>2017</v>
      </c>
      <c r="B767" s="2" t="s">
        <v>7</v>
      </c>
      <c r="C767" s="4">
        <v>1040.7936</v>
      </c>
    </row>
    <row r="768" spans="1:3" s="1" customFormat="1" ht="19.75" customHeight="1" x14ac:dyDescent="0.25">
      <c r="A768" s="7">
        <f>2017</f>
        <v>2017</v>
      </c>
      <c r="B768" s="2" t="s">
        <v>8</v>
      </c>
      <c r="C768" s="3">
        <v>13240.358399999999</v>
      </c>
    </row>
    <row r="769" spans="1:3" s="1" customFormat="1" ht="19.75" customHeight="1" x14ac:dyDescent="0.25">
      <c r="A769" s="7">
        <f>2017</f>
        <v>2017</v>
      </c>
      <c r="B769" s="2" t="s">
        <v>105</v>
      </c>
      <c r="C769" s="4">
        <v>3874.2813000000001</v>
      </c>
    </row>
    <row r="770" spans="1:3" s="1" customFormat="1" ht="19.75" customHeight="1" x14ac:dyDescent="0.25">
      <c r="A770" s="7">
        <f>2017</f>
        <v>2017</v>
      </c>
      <c r="B770" s="2" t="s">
        <v>10</v>
      </c>
      <c r="C770" s="3">
        <v>4776.7479999999996</v>
      </c>
    </row>
    <row r="771" spans="1:3" s="1" customFormat="1" ht="19.75" customHeight="1" x14ac:dyDescent="0.25">
      <c r="A771" s="7">
        <f>2017</f>
        <v>2017</v>
      </c>
      <c r="B771" s="2" t="s">
        <v>11</v>
      </c>
      <c r="C771" s="4">
        <v>6874.8762999999999</v>
      </c>
    </row>
    <row r="772" spans="1:3" s="1" customFormat="1" ht="19.75" customHeight="1" x14ac:dyDescent="0.25">
      <c r="A772" s="7">
        <f>2017</f>
        <v>2017</v>
      </c>
      <c r="B772" s="2" t="s">
        <v>106</v>
      </c>
      <c r="C772" s="3">
        <v>1333.3796</v>
      </c>
    </row>
    <row r="773" spans="1:3" s="1" customFormat="1" ht="19.75" customHeight="1" x14ac:dyDescent="0.25">
      <c r="A773" s="7">
        <f>2017</f>
        <v>2017</v>
      </c>
      <c r="B773" s="2" t="s">
        <v>110</v>
      </c>
      <c r="C773" s="4">
        <v>1670.6686999999999</v>
      </c>
    </row>
    <row r="774" spans="1:3" s="1" customFormat="1" ht="19.75" customHeight="1" x14ac:dyDescent="0.25">
      <c r="A774" s="7">
        <f>2017</f>
        <v>2017</v>
      </c>
      <c r="B774" s="2" t="s">
        <v>21</v>
      </c>
      <c r="C774" s="3">
        <v>9776.8261999999995</v>
      </c>
    </row>
    <row r="775" spans="1:3" s="1" customFormat="1" ht="19.75" customHeight="1" x14ac:dyDescent="0.25">
      <c r="A775" s="7">
        <f>2017</f>
        <v>2017</v>
      </c>
      <c r="B775" s="2" t="s">
        <v>12</v>
      </c>
      <c r="C775" s="4">
        <v>13905.242099999999</v>
      </c>
    </row>
    <row r="776" spans="1:3" s="1" customFormat="1" ht="19.75" customHeight="1" x14ac:dyDescent="0.25">
      <c r="A776" s="7">
        <f>2017</f>
        <v>2017</v>
      </c>
      <c r="B776" s="2" t="s">
        <v>13</v>
      </c>
      <c r="C776" s="3">
        <v>680.95429999999999</v>
      </c>
    </row>
    <row r="777" spans="1:3" s="1" customFormat="1" ht="19.75" customHeight="1" x14ac:dyDescent="0.25">
      <c r="A777" s="7">
        <f>2017</f>
        <v>2017</v>
      </c>
      <c r="B777" s="2" t="s">
        <v>14</v>
      </c>
      <c r="C777" s="4">
        <v>490.96969999999999</v>
      </c>
    </row>
    <row r="778" spans="1:3" s="1" customFormat="1" ht="19.75" customHeight="1" x14ac:dyDescent="0.25">
      <c r="A778" s="7">
        <f>2017</f>
        <v>2017</v>
      </c>
      <c r="B778" s="2" t="s">
        <v>15</v>
      </c>
      <c r="C778" s="3">
        <v>150.1591</v>
      </c>
    </row>
    <row r="779" spans="1:3" s="1" customFormat="1" ht="19.75" customHeight="1" x14ac:dyDescent="0.25">
      <c r="A779" s="7">
        <f>2017</f>
        <v>2017</v>
      </c>
      <c r="B779" s="2" t="s">
        <v>16</v>
      </c>
      <c r="C779" s="4">
        <v>218.53139999999999</v>
      </c>
    </row>
    <row r="780" spans="1:3" s="1" customFormat="1" ht="19.75" customHeight="1" x14ac:dyDescent="0.25">
      <c r="A780" s="7">
        <f>2017</f>
        <v>2017</v>
      </c>
      <c r="B780" s="2" t="s">
        <v>18</v>
      </c>
      <c r="C780" s="3">
        <v>1094.1249</v>
      </c>
    </row>
    <row r="781" spans="1:3" s="1" customFormat="1" ht="19.75" customHeight="1" x14ac:dyDescent="0.25">
      <c r="A781" s="7">
        <f>2017</f>
        <v>2017</v>
      </c>
      <c r="B781" s="2" t="s">
        <v>19</v>
      </c>
      <c r="C781" s="4">
        <v>11182.737999999999</v>
      </c>
    </row>
    <row r="782" spans="1:3" s="1" customFormat="1" ht="19.75" customHeight="1" x14ac:dyDescent="0.25">
      <c r="A782" s="7">
        <f>2017</f>
        <v>2017</v>
      </c>
      <c r="B782" s="2" t="s">
        <v>20</v>
      </c>
      <c r="C782" s="3">
        <v>16685.655699999999</v>
      </c>
    </row>
    <row r="783" spans="1:3" s="1" customFormat="1" ht="19.75" customHeight="1" x14ac:dyDescent="0.25">
      <c r="A783" s="7">
        <f>2017</f>
        <v>2017</v>
      </c>
      <c r="B783" s="2" t="s">
        <v>23</v>
      </c>
      <c r="C783" s="4">
        <v>2583.1279</v>
      </c>
    </row>
    <row r="784" spans="1:3" s="1" customFormat="1" ht="19.75" customHeight="1" x14ac:dyDescent="0.25">
      <c r="A784" s="7">
        <f>2017</f>
        <v>2017</v>
      </c>
      <c r="B784" s="2" t="s">
        <v>24</v>
      </c>
      <c r="C784" s="3">
        <v>2926.6242000000002</v>
      </c>
    </row>
    <row r="785" spans="1:3" s="1" customFormat="1" ht="19.75" customHeight="1" x14ac:dyDescent="0.25">
      <c r="A785" s="7">
        <f>2017</f>
        <v>2017</v>
      </c>
      <c r="B785" s="2" t="s">
        <v>25</v>
      </c>
      <c r="C785" s="4">
        <v>543.53930000000003</v>
      </c>
    </row>
    <row r="786" spans="1:3" s="1" customFormat="1" ht="19.75" customHeight="1" x14ac:dyDescent="0.25">
      <c r="A786" s="7">
        <f>2017</f>
        <v>2017</v>
      </c>
      <c r="B786" s="2" t="s">
        <v>26</v>
      </c>
      <c r="C786" s="3">
        <v>964.98490000000004</v>
      </c>
    </row>
    <row r="787" spans="1:3" s="1" customFormat="1" ht="19.75" customHeight="1" x14ac:dyDescent="0.25">
      <c r="A787" s="7">
        <f>2017</f>
        <v>2017</v>
      </c>
      <c r="B787" s="2" t="s">
        <v>27</v>
      </c>
      <c r="C787" s="4">
        <v>2573.3141000000001</v>
      </c>
    </row>
    <row r="788" spans="1:3" s="1" customFormat="1" ht="19.75" customHeight="1" x14ac:dyDescent="0.25">
      <c r="A788" s="7">
        <f>2017</f>
        <v>2017</v>
      </c>
      <c r="B788" s="2" t="s">
        <v>107</v>
      </c>
      <c r="C788" s="3">
        <v>377.9837</v>
      </c>
    </row>
    <row r="789" spans="1:3" s="1" customFormat="1" ht="19.75" customHeight="1" x14ac:dyDescent="0.25">
      <c r="A789" s="7">
        <f>2017</f>
        <v>2017</v>
      </c>
      <c r="B789" s="2" t="s">
        <v>28</v>
      </c>
      <c r="C789" s="4">
        <v>61.317599999999999</v>
      </c>
    </row>
    <row r="790" spans="1:3" s="1" customFormat="1" ht="19.75" customHeight="1" x14ac:dyDescent="0.25">
      <c r="A790" s="7">
        <f>2017</f>
        <v>2017</v>
      </c>
      <c r="B790" s="2" t="s">
        <v>29</v>
      </c>
      <c r="C790" s="3">
        <v>474.36439999999999</v>
      </c>
    </row>
    <row r="791" spans="1:3" s="1" customFormat="1" ht="19.75" customHeight="1" x14ac:dyDescent="0.25">
      <c r="A791" s="7">
        <f>2017</f>
        <v>2017</v>
      </c>
      <c r="B791" s="2" t="s">
        <v>30</v>
      </c>
      <c r="C791" s="4">
        <v>822.09379999999999</v>
      </c>
    </row>
    <row r="792" spans="1:3" s="1" customFormat="1" ht="19.75" customHeight="1" x14ac:dyDescent="0.25">
      <c r="A792" s="7">
        <f>2017</f>
        <v>2017</v>
      </c>
      <c r="B792" s="2" t="s">
        <v>31</v>
      </c>
      <c r="C792" s="3">
        <v>559.08029999999997</v>
      </c>
    </row>
    <row r="793" spans="1:3" s="1" customFormat="1" ht="19.75" customHeight="1" x14ac:dyDescent="0.25">
      <c r="A793" s="7">
        <f>2017</f>
        <v>2017</v>
      </c>
      <c r="B793" s="2" t="s">
        <v>32</v>
      </c>
      <c r="C793" s="4">
        <v>2507.4265</v>
      </c>
    </row>
    <row r="794" spans="1:3" s="1" customFormat="1" ht="19.75" customHeight="1" x14ac:dyDescent="0.25">
      <c r="A794" s="7">
        <f>2017</f>
        <v>2017</v>
      </c>
      <c r="B794" s="2" t="s">
        <v>17</v>
      </c>
      <c r="C794" s="3">
        <v>81.694299999999998</v>
      </c>
    </row>
    <row r="795" spans="1:3" s="1" customFormat="1" ht="19.75" customHeight="1" x14ac:dyDescent="0.25">
      <c r="A795" s="7">
        <f>2017</f>
        <v>2017</v>
      </c>
      <c r="B795" s="2" t="s">
        <v>112</v>
      </c>
      <c r="C795" s="4">
        <v>733.72159999999997</v>
      </c>
    </row>
    <row r="796" spans="1:3" s="1" customFormat="1" ht="19.75" customHeight="1" x14ac:dyDescent="0.25">
      <c r="A796" s="7">
        <f>2017</f>
        <v>2017</v>
      </c>
      <c r="B796" s="2" t="s">
        <v>93</v>
      </c>
      <c r="C796" s="3">
        <v>7.8635999999999999</v>
      </c>
    </row>
    <row r="797" spans="1:3" s="1" customFormat="1" ht="19.75" customHeight="1" x14ac:dyDescent="0.25">
      <c r="A797" s="7">
        <f>2017</f>
        <v>2017</v>
      </c>
      <c r="B797" s="2" t="s">
        <v>98</v>
      </c>
      <c r="C797" s="4">
        <v>15.3005</v>
      </c>
    </row>
    <row r="798" spans="1:3" s="1" customFormat="1" ht="19.75" customHeight="1" x14ac:dyDescent="0.25">
      <c r="A798" s="7">
        <f>2017</f>
        <v>2017</v>
      </c>
      <c r="B798" s="2" t="s">
        <v>34</v>
      </c>
      <c r="C798" s="3">
        <v>136.94999999999999</v>
      </c>
    </row>
    <row r="799" spans="1:3" s="1" customFormat="1" ht="19.75" customHeight="1" x14ac:dyDescent="0.25">
      <c r="A799" s="7">
        <f>2017</f>
        <v>2017</v>
      </c>
      <c r="B799" s="2" t="s">
        <v>35</v>
      </c>
      <c r="C799" s="4">
        <v>31.474900000000002</v>
      </c>
    </row>
    <row r="800" spans="1:3" s="1" customFormat="1" ht="19.75" customHeight="1" x14ac:dyDescent="0.25">
      <c r="A800" s="7">
        <f>2017</f>
        <v>2017</v>
      </c>
      <c r="B800" s="2" t="s">
        <v>36</v>
      </c>
      <c r="C800" s="3">
        <v>717.30269999999996</v>
      </c>
    </row>
    <row r="801" spans="1:3" s="1" customFormat="1" ht="19.75" customHeight="1" x14ac:dyDescent="0.25">
      <c r="A801" s="7">
        <f>2017</f>
        <v>2017</v>
      </c>
      <c r="B801" s="2" t="s">
        <v>37</v>
      </c>
      <c r="C801" s="4">
        <v>28.943999999999999</v>
      </c>
    </row>
    <row r="802" spans="1:3" s="1" customFormat="1" ht="19.75" customHeight="1" x14ac:dyDescent="0.25">
      <c r="A802" s="7">
        <f>2017</f>
        <v>2017</v>
      </c>
      <c r="B802" s="2" t="s">
        <v>38</v>
      </c>
      <c r="C802" s="3">
        <v>19.222200000000001</v>
      </c>
    </row>
    <row r="803" spans="1:3" s="1" customFormat="1" ht="19.75" customHeight="1" x14ac:dyDescent="0.25">
      <c r="A803" s="7">
        <f>2017</f>
        <v>2017</v>
      </c>
      <c r="B803" s="2" t="s">
        <v>40</v>
      </c>
      <c r="C803" s="4">
        <v>187.69229999999999</v>
      </c>
    </row>
    <row r="804" spans="1:3" s="1" customFormat="1" ht="19.75" customHeight="1" x14ac:dyDescent="0.25">
      <c r="A804" s="7">
        <f>2017</f>
        <v>2017</v>
      </c>
      <c r="B804" s="2" t="s">
        <v>41</v>
      </c>
      <c r="C804" s="3">
        <v>471.11599999999999</v>
      </c>
    </row>
    <row r="805" spans="1:3" s="1" customFormat="1" ht="19.75" customHeight="1" x14ac:dyDescent="0.25">
      <c r="A805" s="7">
        <f>2017</f>
        <v>2017</v>
      </c>
      <c r="B805" s="2" t="s">
        <v>42</v>
      </c>
      <c r="C805" s="4">
        <v>324.1979</v>
      </c>
    </row>
    <row r="806" spans="1:3" s="1" customFormat="1" ht="19.75" customHeight="1" x14ac:dyDescent="0.25">
      <c r="A806" s="7">
        <f>2017</f>
        <v>2017</v>
      </c>
      <c r="B806" s="2" t="s">
        <v>43</v>
      </c>
      <c r="C806" s="3">
        <v>3162.38</v>
      </c>
    </row>
    <row r="807" spans="1:3" s="1" customFormat="1" ht="19.75" customHeight="1" x14ac:dyDescent="0.25">
      <c r="A807" s="7">
        <f>2017</f>
        <v>2017</v>
      </c>
      <c r="B807" s="2" t="s">
        <v>119</v>
      </c>
      <c r="C807" s="4">
        <v>-1.3946000000000001</v>
      </c>
    </row>
    <row r="808" spans="1:3" s="1" customFormat="1" ht="19.75" customHeight="1" x14ac:dyDescent="0.25">
      <c r="A808" s="7">
        <f>2017</f>
        <v>2017</v>
      </c>
      <c r="B808" s="2" t="s">
        <v>44</v>
      </c>
      <c r="C808" s="3">
        <v>194.64099999999999</v>
      </c>
    </row>
    <row r="809" spans="1:3" s="1" customFormat="1" ht="19.75" customHeight="1" x14ac:dyDescent="0.25">
      <c r="A809" s="7">
        <f>2017</f>
        <v>2017</v>
      </c>
      <c r="B809" s="2" t="s">
        <v>45</v>
      </c>
      <c r="C809" s="4">
        <v>290.28710000000001</v>
      </c>
    </row>
    <row r="810" spans="1:3" s="1" customFormat="1" ht="19.75" customHeight="1" x14ac:dyDescent="0.25">
      <c r="A810" s="7">
        <f>2017</f>
        <v>2017</v>
      </c>
      <c r="B810" s="2" t="s">
        <v>94</v>
      </c>
      <c r="C810" s="3">
        <v>167.61330000000001</v>
      </c>
    </row>
    <row r="811" spans="1:3" s="1" customFormat="1" ht="19.75" customHeight="1" x14ac:dyDescent="0.25">
      <c r="A811" s="7">
        <f>2017</f>
        <v>2017</v>
      </c>
      <c r="B811" s="2" t="s">
        <v>46</v>
      </c>
      <c r="C811" s="4">
        <v>30.2272</v>
      </c>
    </row>
    <row r="812" spans="1:3" s="1" customFormat="1" ht="19.75" customHeight="1" x14ac:dyDescent="0.25">
      <c r="A812" s="7">
        <f>2017</f>
        <v>2017</v>
      </c>
      <c r="B812" s="2" t="s">
        <v>47</v>
      </c>
      <c r="C812" s="3">
        <v>509.41160000000002</v>
      </c>
    </row>
    <row r="813" spans="1:3" s="1" customFormat="1" ht="19.75" customHeight="1" x14ac:dyDescent="0.25">
      <c r="A813" s="7">
        <f>2017</f>
        <v>2017</v>
      </c>
      <c r="B813" s="2" t="s">
        <v>48</v>
      </c>
      <c r="C813" s="4">
        <v>1438.7077999999999</v>
      </c>
    </row>
    <row r="814" spans="1:3" s="1" customFormat="1" ht="19.75" customHeight="1" x14ac:dyDescent="0.25">
      <c r="A814" s="7">
        <f>2017</f>
        <v>2017</v>
      </c>
      <c r="B814" s="2" t="s">
        <v>49</v>
      </c>
      <c r="C814" s="3">
        <v>3.5265</v>
      </c>
    </row>
    <row r="815" spans="1:3" s="1" customFormat="1" ht="19.75" customHeight="1" x14ac:dyDescent="0.25">
      <c r="A815" s="7">
        <f>2017</f>
        <v>2017</v>
      </c>
      <c r="B815" s="2" t="s">
        <v>51</v>
      </c>
      <c r="C815" s="4">
        <v>3.9213</v>
      </c>
    </row>
    <row r="816" spans="1:3" s="1" customFormat="1" ht="19.75" customHeight="1" x14ac:dyDescent="0.25">
      <c r="A816" s="7">
        <f>2017</f>
        <v>2017</v>
      </c>
      <c r="B816" s="2" t="s">
        <v>52</v>
      </c>
      <c r="C816" s="3">
        <v>30.371400000000001</v>
      </c>
    </row>
    <row r="817" spans="1:3" s="1" customFormat="1" ht="19.75" customHeight="1" x14ac:dyDescent="0.25">
      <c r="A817" s="7">
        <f>2017</f>
        <v>2017</v>
      </c>
      <c r="B817" s="2" t="s">
        <v>99</v>
      </c>
      <c r="C817" s="4">
        <v>1868.1569999999999</v>
      </c>
    </row>
    <row r="818" spans="1:3" s="1" customFormat="1" ht="19.75" customHeight="1" x14ac:dyDescent="0.25">
      <c r="A818" s="7">
        <f>2017</f>
        <v>2017</v>
      </c>
      <c r="B818" s="2" t="s">
        <v>53</v>
      </c>
      <c r="C818" s="3">
        <v>37.189399999999999</v>
      </c>
    </row>
    <row r="819" spans="1:3" s="1" customFormat="1" ht="19.75" customHeight="1" x14ac:dyDescent="0.25">
      <c r="A819" s="7">
        <f>2017</f>
        <v>2017</v>
      </c>
      <c r="B819" s="2" t="s">
        <v>54</v>
      </c>
      <c r="C819" s="4">
        <v>4.2668999999999997</v>
      </c>
    </row>
    <row r="820" spans="1:3" s="1" customFormat="1" ht="19.75" customHeight="1" x14ac:dyDescent="0.25">
      <c r="A820" s="7">
        <f>2017</f>
        <v>2017</v>
      </c>
      <c r="B820" s="2" t="s">
        <v>55</v>
      </c>
      <c r="C820" s="3">
        <v>755.33050000000003</v>
      </c>
    </row>
    <row r="821" spans="1:3" s="1" customFormat="1" ht="19.75" customHeight="1" x14ac:dyDescent="0.25">
      <c r="A821" s="7">
        <f>2017</f>
        <v>2017</v>
      </c>
      <c r="B821" s="2" t="s">
        <v>56</v>
      </c>
      <c r="C821" s="4">
        <v>-2.2385999999999999</v>
      </c>
    </row>
    <row r="822" spans="1:3" s="1" customFormat="1" ht="19.75" customHeight="1" x14ac:dyDescent="0.25">
      <c r="A822" s="7">
        <f>2017</f>
        <v>2017</v>
      </c>
      <c r="B822" s="2" t="s">
        <v>57</v>
      </c>
      <c r="C822" s="3">
        <v>10.88</v>
      </c>
    </row>
    <row r="823" spans="1:3" s="1" customFormat="1" ht="19.75" customHeight="1" x14ac:dyDescent="0.25">
      <c r="A823" s="7">
        <f>2017</f>
        <v>2017</v>
      </c>
      <c r="B823" s="2" t="s">
        <v>95</v>
      </c>
      <c r="C823" s="4">
        <v>5.2652000000000001</v>
      </c>
    </row>
    <row r="824" spans="1:3" s="1" customFormat="1" ht="19.75" customHeight="1" x14ac:dyDescent="0.25">
      <c r="A824" s="7">
        <f>2017</f>
        <v>2017</v>
      </c>
      <c r="B824" s="2" t="s">
        <v>59</v>
      </c>
      <c r="C824" s="3">
        <v>9.0945999999999998</v>
      </c>
    </row>
    <row r="825" spans="1:3" s="1" customFormat="1" ht="19.75" customHeight="1" x14ac:dyDescent="0.25">
      <c r="A825" s="7">
        <f>2017</f>
        <v>2017</v>
      </c>
      <c r="B825" s="2" t="s">
        <v>60</v>
      </c>
      <c r="C825" s="4">
        <v>139.61080000000001</v>
      </c>
    </row>
    <row r="826" spans="1:3" s="1" customFormat="1" ht="19.75" customHeight="1" x14ac:dyDescent="0.25">
      <c r="A826" s="7">
        <f>2017</f>
        <v>2017</v>
      </c>
      <c r="B826" s="2" t="s">
        <v>61</v>
      </c>
      <c r="C826" s="3">
        <v>178.39060000000001</v>
      </c>
    </row>
    <row r="827" spans="1:3" s="1" customFormat="1" ht="19.75" customHeight="1" x14ac:dyDescent="0.25">
      <c r="A827" s="7">
        <f>2017</f>
        <v>2017</v>
      </c>
      <c r="B827" s="2" t="s">
        <v>111</v>
      </c>
      <c r="C827" s="4">
        <v>7.3341000000000003</v>
      </c>
    </row>
    <row r="828" spans="1:3" s="1" customFormat="1" ht="19.75" customHeight="1" x14ac:dyDescent="0.25">
      <c r="A828" s="7">
        <f>2017</f>
        <v>2017</v>
      </c>
      <c r="B828" s="2" t="s">
        <v>64</v>
      </c>
      <c r="C828" s="3">
        <v>17.4314</v>
      </c>
    </row>
    <row r="829" spans="1:3" s="1" customFormat="1" ht="19.75" customHeight="1" x14ac:dyDescent="0.25">
      <c r="A829" s="7">
        <f>2017</f>
        <v>2017</v>
      </c>
      <c r="B829" s="2" t="s">
        <v>66</v>
      </c>
      <c r="C829" s="4">
        <v>19.835000000000001</v>
      </c>
    </row>
    <row r="830" spans="1:3" s="1" customFormat="1" ht="19.75" customHeight="1" x14ac:dyDescent="0.25">
      <c r="A830" s="7">
        <f>2017</f>
        <v>2017</v>
      </c>
      <c r="B830" s="2" t="s">
        <v>67</v>
      </c>
      <c r="C830" s="3">
        <v>53.440600000000003</v>
      </c>
    </row>
    <row r="831" spans="1:3" s="1" customFormat="1" ht="19.75" customHeight="1" x14ac:dyDescent="0.25">
      <c r="A831" s="7">
        <f>2017</f>
        <v>2017</v>
      </c>
      <c r="B831" s="2" t="s">
        <v>68</v>
      </c>
      <c r="C831" s="4">
        <v>56.227499999999999</v>
      </c>
    </row>
    <row r="832" spans="1:3" s="1" customFormat="1" ht="19.75" customHeight="1" x14ac:dyDescent="0.25">
      <c r="A832" s="7">
        <f>2017</f>
        <v>2017</v>
      </c>
      <c r="B832" s="2" t="s">
        <v>69</v>
      </c>
      <c r="C832" s="3">
        <v>50.500300000000003</v>
      </c>
    </row>
    <row r="833" spans="1:3" s="1" customFormat="1" ht="19.75" customHeight="1" x14ac:dyDescent="0.25">
      <c r="A833" s="7">
        <f>2017</f>
        <v>2017</v>
      </c>
      <c r="B833" s="2" t="s">
        <v>96</v>
      </c>
      <c r="C833" s="4">
        <v>2.0615000000000001</v>
      </c>
    </row>
    <row r="834" spans="1:3" s="1" customFormat="1" ht="19.75" customHeight="1" x14ac:dyDescent="0.25">
      <c r="A834" s="7">
        <f>2017</f>
        <v>2017</v>
      </c>
      <c r="B834" s="2" t="s">
        <v>71</v>
      </c>
      <c r="C834" s="3">
        <v>2463.7411000000002</v>
      </c>
    </row>
    <row r="835" spans="1:3" s="1" customFormat="1" ht="19.75" customHeight="1" x14ac:dyDescent="0.25">
      <c r="A835" s="7">
        <f>2017</f>
        <v>2017</v>
      </c>
      <c r="B835" s="2" t="s">
        <v>72</v>
      </c>
      <c r="C835" s="4">
        <v>111.33759999999999</v>
      </c>
    </row>
    <row r="836" spans="1:3" s="1" customFormat="1" ht="19.75" customHeight="1" x14ac:dyDescent="0.25">
      <c r="A836" s="7">
        <f>2017</f>
        <v>2017</v>
      </c>
      <c r="B836" s="2" t="s">
        <v>75</v>
      </c>
      <c r="C836" s="3">
        <v>43.1509</v>
      </c>
    </row>
    <row r="837" spans="1:3" s="1" customFormat="1" ht="19.75" customHeight="1" x14ac:dyDescent="0.25">
      <c r="A837" s="7">
        <f>2017</f>
        <v>2017</v>
      </c>
      <c r="B837" s="2" t="s">
        <v>108</v>
      </c>
      <c r="C837" s="4">
        <v>30.777999999999999</v>
      </c>
    </row>
    <row r="838" spans="1:3" s="1" customFormat="1" ht="19.75" customHeight="1" x14ac:dyDescent="0.25">
      <c r="A838" s="7">
        <f>2017</f>
        <v>2017</v>
      </c>
      <c r="B838" s="2" t="s">
        <v>76</v>
      </c>
      <c r="C838" s="3">
        <v>11.805400000000001</v>
      </c>
    </row>
    <row r="839" spans="1:3" s="1" customFormat="1" ht="19.75" customHeight="1" x14ac:dyDescent="0.25">
      <c r="A839" s="7">
        <f>2017</f>
        <v>2017</v>
      </c>
      <c r="B839" s="2" t="s">
        <v>100</v>
      </c>
      <c r="C839" s="4">
        <v>0.50829999999999997</v>
      </c>
    </row>
    <row r="840" spans="1:3" s="1" customFormat="1" ht="19.75" customHeight="1" x14ac:dyDescent="0.25">
      <c r="A840" s="7">
        <f>2017</f>
        <v>2017</v>
      </c>
      <c r="B840" s="2" t="s">
        <v>79</v>
      </c>
      <c r="C840" s="3">
        <v>8.1858000000000004</v>
      </c>
    </row>
    <row r="841" spans="1:3" s="1" customFormat="1" ht="19.75" customHeight="1" x14ac:dyDescent="0.25">
      <c r="A841" s="7">
        <f>2017</f>
        <v>2017</v>
      </c>
      <c r="B841" s="2" t="s">
        <v>80</v>
      </c>
      <c r="C841" s="4">
        <v>153.74510000000001</v>
      </c>
    </row>
    <row r="842" spans="1:3" s="1" customFormat="1" ht="19.75" customHeight="1" x14ac:dyDescent="0.25">
      <c r="A842" s="7">
        <f>2016</f>
        <v>2016</v>
      </c>
      <c r="B842" s="2" t="s">
        <v>113</v>
      </c>
      <c r="C842" s="3">
        <v>1454.4344000000001</v>
      </c>
    </row>
    <row r="843" spans="1:3" s="1" customFormat="1" ht="19.75" customHeight="1" x14ac:dyDescent="0.25">
      <c r="A843" s="7">
        <f>2016</f>
        <v>2016</v>
      </c>
      <c r="B843" s="2" t="s">
        <v>114</v>
      </c>
      <c r="C843" s="4">
        <v>2227.7374</v>
      </c>
    </row>
    <row r="844" spans="1:3" s="1" customFormat="1" ht="19.75" customHeight="1" x14ac:dyDescent="0.25">
      <c r="A844" s="7">
        <f>2016</f>
        <v>2016</v>
      </c>
      <c r="B844" s="2" t="s">
        <v>9</v>
      </c>
      <c r="C844" s="3">
        <v>33307.153899999998</v>
      </c>
    </row>
    <row r="845" spans="1:3" s="1" customFormat="1" ht="19.75" customHeight="1" x14ac:dyDescent="0.25">
      <c r="A845" s="7">
        <f>2016</f>
        <v>2016</v>
      </c>
      <c r="B845" s="2" t="s">
        <v>115</v>
      </c>
      <c r="C845" s="4">
        <v>893.6748</v>
      </c>
    </row>
    <row r="846" spans="1:3" s="1" customFormat="1" ht="19.75" customHeight="1" x14ac:dyDescent="0.25">
      <c r="A846" s="7">
        <f>2016</f>
        <v>2016</v>
      </c>
      <c r="B846" s="2" t="s">
        <v>116</v>
      </c>
      <c r="C846" s="3">
        <v>2800.0349000000001</v>
      </c>
    </row>
    <row r="847" spans="1:3" s="1" customFormat="1" ht="19.75" customHeight="1" x14ac:dyDescent="0.25">
      <c r="A847" s="7">
        <f>2016</f>
        <v>2016</v>
      </c>
      <c r="B847" s="2" t="s">
        <v>117</v>
      </c>
      <c r="C847" s="4">
        <v>1460.6016</v>
      </c>
    </row>
    <row r="848" spans="1:3" s="1" customFormat="1" ht="19.75" customHeight="1" x14ac:dyDescent="0.25">
      <c r="A848" s="7">
        <f>2016</f>
        <v>2016</v>
      </c>
      <c r="B848" s="2" t="s">
        <v>101</v>
      </c>
      <c r="C848" s="3">
        <v>4877.2111000000004</v>
      </c>
    </row>
    <row r="849" spans="1:3" s="1" customFormat="1" ht="19.75" customHeight="1" x14ac:dyDescent="0.25">
      <c r="A849" s="7">
        <f>2016</f>
        <v>2016</v>
      </c>
      <c r="B849" s="2" t="s">
        <v>102</v>
      </c>
      <c r="C849" s="4">
        <v>3420.1662999999999</v>
      </c>
    </row>
    <row r="850" spans="1:3" s="1" customFormat="1" ht="19.75" customHeight="1" x14ac:dyDescent="0.25">
      <c r="A850" s="7">
        <f>2016</f>
        <v>2016</v>
      </c>
      <c r="B850" s="2" t="s">
        <v>0</v>
      </c>
      <c r="C850" s="3">
        <v>14211.113499999999</v>
      </c>
    </row>
    <row r="851" spans="1:3" s="1" customFormat="1" ht="19.75" customHeight="1" x14ac:dyDescent="0.25">
      <c r="A851" s="7">
        <f>2016</f>
        <v>2016</v>
      </c>
      <c r="B851" s="2" t="s">
        <v>1</v>
      </c>
      <c r="C851" s="4">
        <v>12124.8331</v>
      </c>
    </row>
    <row r="852" spans="1:3" s="1" customFormat="1" ht="19.75" customHeight="1" x14ac:dyDescent="0.25">
      <c r="A852" s="7">
        <f>2016</f>
        <v>2016</v>
      </c>
      <c r="B852" s="2" t="s">
        <v>2</v>
      </c>
      <c r="C852" s="3">
        <v>2244.4919</v>
      </c>
    </row>
    <row r="853" spans="1:3" s="1" customFormat="1" ht="19.75" customHeight="1" x14ac:dyDescent="0.25">
      <c r="A853" s="7">
        <f>2016</f>
        <v>2016</v>
      </c>
      <c r="B853" s="2" t="s">
        <v>118</v>
      </c>
      <c r="C853" s="4">
        <v>1.7564</v>
      </c>
    </row>
    <row r="854" spans="1:3" s="1" customFormat="1" ht="19.75" customHeight="1" x14ac:dyDescent="0.25">
      <c r="A854" s="7">
        <f>2016</f>
        <v>2016</v>
      </c>
      <c r="B854" s="2" t="s">
        <v>3</v>
      </c>
      <c r="C854" s="3">
        <v>9959.4783000000007</v>
      </c>
    </row>
    <row r="855" spans="1:3" s="1" customFormat="1" ht="19.75" customHeight="1" x14ac:dyDescent="0.25">
      <c r="A855" s="7">
        <f>2016</f>
        <v>2016</v>
      </c>
      <c r="B855" s="2" t="s">
        <v>4</v>
      </c>
      <c r="C855" s="4">
        <v>3760.6149</v>
      </c>
    </row>
    <row r="856" spans="1:3" s="1" customFormat="1" ht="19.75" customHeight="1" x14ac:dyDescent="0.25">
      <c r="A856" s="7">
        <f>2016</f>
        <v>2016</v>
      </c>
      <c r="B856" s="2" t="s">
        <v>103</v>
      </c>
      <c r="C856" s="3">
        <v>3601.4976000000001</v>
      </c>
    </row>
    <row r="857" spans="1:3" s="1" customFormat="1" ht="19.75" customHeight="1" x14ac:dyDescent="0.25">
      <c r="A857" s="7">
        <f>2016</f>
        <v>2016</v>
      </c>
      <c r="B857" s="2" t="s">
        <v>109</v>
      </c>
      <c r="C857" s="4">
        <v>1860.6155000000001</v>
      </c>
    </row>
    <row r="858" spans="1:3" s="1" customFormat="1" ht="19.75" customHeight="1" x14ac:dyDescent="0.25">
      <c r="A858" s="7">
        <f>2016</f>
        <v>2016</v>
      </c>
      <c r="B858" s="2" t="s">
        <v>5</v>
      </c>
      <c r="C858" s="3">
        <v>2320.7089999999998</v>
      </c>
    </row>
    <row r="859" spans="1:3" s="1" customFormat="1" ht="19.75" customHeight="1" x14ac:dyDescent="0.25">
      <c r="A859" s="7">
        <f>2016</f>
        <v>2016</v>
      </c>
      <c r="B859" s="2" t="s">
        <v>6</v>
      </c>
      <c r="C859" s="4">
        <v>5782.7831999999999</v>
      </c>
    </row>
    <row r="860" spans="1:3" s="1" customFormat="1" ht="19.75" customHeight="1" x14ac:dyDescent="0.25">
      <c r="A860" s="7">
        <f>2016</f>
        <v>2016</v>
      </c>
      <c r="B860" s="2" t="s">
        <v>104</v>
      </c>
      <c r="C860" s="3">
        <v>3525.9906000000001</v>
      </c>
    </row>
    <row r="861" spans="1:3" s="1" customFormat="1" ht="19.75" customHeight="1" x14ac:dyDescent="0.25">
      <c r="A861" s="7">
        <f>2016</f>
        <v>2016</v>
      </c>
      <c r="B861" s="2" t="s">
        <v>7</v>
      </c>
      <c r="C861" s="4">
        <v>933.92280000000005</v>
      </c>
    </row>
    <row r="862" spans="1:3" s="1" customFormat="1" ht="19.75" customHeight="1" x14ac:dyDescent="0.25">
      <c r="A862" s="7">
        <f>2016</f>
        <v>2016</v>
      </c>
      <c r="B862" s="2" t="s">
        <v>8</v>
      </c>
      <c r="C862" s="3">
        <v>16190.74</v>
      </c>
    </row>
    <row r="863" spans="1:3" s="1" customFormat="1" ht="19.75" customHeight="1" x14ac:dyDescent="0.25">
      <c r="A863" s="7">
        <f>2016</f>
        <v>2016</v>
      </c>
      <c r="B863" s="2" t="s">
        <v>105</v>
      </c>
      <c r="C863" s="4">
        <v>4894.7983000000004</v>
      </c>
    </row>
    <row r="864" spans="1:3" s="1" customFormat="1" ht="19.75" customHeight="1" x14ac:dyDescent="0.25">
      <c r="A864" s="7">
        <f>2016</f>
        <v>2016</v>
      </c>
      <c r="B864" s="2" t="s">
        <v>10</v>
      </c>
      <c r="C864" s="3">
        <v>6402.6433999999999</v>
      </c>
    </row>
    <row r="865" spans="1:3" s="1" customFormat="1" ht="19.75" customHeight="1" x14ac:dyDescent="0.25">
      <c r="A865" s="7">
        <f>2016</f>
        <v>2016</v>
      </c>
      <c r="B865" s="2" t="s">
        <v>11</v>
      </c>
      <c r="C865" s="4">
        <v>4291.0160999999998</v>
      </c>
    </row>
    <row r="866" spans="1:3" s="1" customFormat="1" ht="19.75" customHeight="1" x14ac:dyDescent="0.25">
      <c r="A866" s="7">
        <f>2016</f>
        <v>2016</v>
      </c>
      <c r="B866" s="2" t="s">
        <v>106</v>
      </c>
      <c r="C866" s="3">
        <v>1057.2648999999999</v>
      </c>
    </row>
    <row r="867" spans="1:3" s="1" customFormat="1" ht="19.75" customHeight="1" x14ac:dyDescent="0.25">
      <c r="A867" s="7">
        <f>2016</f>
        <v>2016</v>
      </c>
      <c r="B867" s="2" t="s">
        <v>110</v>
      </c>
      <c r="C867" s="4">
        <v>1167.0746999999999</v>
      </c>
    </row>
    <row r="868" spans="1:3" s="1" customFormat="1" ht="19.75" customHeight="1" x14ac:dyDescent="0.25">
      <c r="A868" s="7">
        <f>2016</f>
        <v>2016</v>
      </c>
      <c r="B868" s="2" t="s">
        <v>21</v>
      </c>
      <c r="C868" s="3">
        <v>9034.8693000000003</v>
      </c>
    </row>
    <row r="869" spans="1:3" s="1" customFormat="1" ht="19.75" customHeight="1" x14ac:dyDescent="0.25">
      <c r="A869" s="7">
        <f>2016</f>
        <v>2016</v>
      </c>
      <c r="B869" s="2" t="s">
        <v>12</v>
      </c>
      <c r="C869" s="4">
        <v>7879.9519</v>
      </c>
    </row>
    <row r="870" spans="1:3" s="1" customFormat="1" ht="19.75" customHeight="1" x14ac:dyDescent="0.25">
      <c r="A870" s="7">
        <f>2016</f>
        <v>2016</v>
      </c>
      <c r="B870" s="2" t="s">
        <v>13</v>
      </c>
      <c r="C870" s="3">
        <v>191.56460000000001</v>
      </c>
    </row>
    <row r="871" spans="1:3" s="1" customFormat="1" ht="19.75" customHeight="1" x14ac:dyDescent="0.25">
      <c r="A871" s="7">
        <f>2016</f>
        <v>2016</v>
      </c>
      <c r="B871" s="2" t="s">
        <v>14</v>
      </c>
      <c r="C871" s="4">
        <v>388.59</v>
      </c>
    </row>
    <row r="872" spans="1:3" s="1" customFormat="1" ht="19.75" customHeight="1" x14ac:dyDescent="0.25">
      <c r="A872" s="7">
        <f>2016</f>
        <v>2016</v>
      </c>
      <c r="B872" s="2" t="s">
        <v>15</v>
      </c>
      <c r="C872" s="3">
        <v>145.97819999999999</v>
      </c>
    </row>
    <row r="873" spans="1:3" s="1" customFormat="1" ht="19.75" customHeight="1" x14ac:dyDescent="0.25">
      <c r="A873" s="7">
        <f>2016</f>
        <v>2016</v>
      </c>
      <c r="B873" s="2" t="s">
        <v>16</v>
      </c>
      <c r="C873" s="4">
        <v>154.5042</v>
      </c>
    </row>
    <row r="874" spans="1:3" s="1" customFormat="1" ht="19.75" customHeight="1" x14ac:dyDescent="0.25">
      <c r="A874" s="7">
        <f>2016</f>
        <v>2016</v>
      </c>
      <c r="B874" s="2" t="s">
        <v>18</v>
      </c>
      <c r="C874" s="3">
        <v>948.1327</v>
      </c>
    </row>
    <row r="875" spans="1:3" s="1" customFormat="1" ht="19.75" customHeight="1" x14ac:dyDescent="0.25">
      <c r="A875" s="7">
        <f>2016</f>
        <v>2016</v>
      </c>
      <c r="B875" s="2" t="s">
        <v>19</v>
      </c>
      <c r="C875" s="4">
        <v>9067.3222999999998</v>
      </c>
    </row>
    <row r="876" spans="1:3" s="1" customFormat="1" ht="19.75" customHeight="1" x14ac:dyDescent="0.25">
      <c r="A876" s="7">
        <f>2016</f>
        <v>2016</v>
      </c>
      <c r="B876" s="2" t="s">
        <v>20</v>
      </c>
      <c r="C876" s="3">
        <v>14137.245999999999</v>
      </c>
    </row>
    <row r="877" spans="1:3" s="1" customFormat="1" ht="19.75" customHeight="1" x14ac:dyDescent="0.25">
      <c r="A877" s="7">
        <f>2016</f>
        <v>2016</v>
      </c>
      <c r="B877" s="2" t="s">
        <v>23</v>
      </c>
      <c r="C877" s="4">
        <v>1854.9675999999999</v>
      </c>
    </row>
    <row r="878" spans="1:3" s="1" customFormat="1" ht="19.75" customHeight="1" x14ac:dyDescent="0.25">
      <c r="A878" s="7">
        <f>2016</f>
        <v>2016</v>
      </c>
      <c r="B878" s="2" t="s">
        <v>24</v>
      </c>
      <c r="C878" s="3">
        <v>1251.8816999999999</v>
      </c>
    </row>
    <row r="879" spans="1:3" s="1" customFormat="1" ht="19.75" customHeight="1" x14ac:dyDescent="0.25">
      <c r="A879" s="7">
        <f>2016</f>
        <v>2016</v>
      </c>
      <c r="B879" s="2" t="s">
        <v>25</v>
      </c>
      <c r="C879" s="4">
        <v>439.23989999999998</v>
      </c>
    </row>
    <row r="880" spans="1:3" s="1" customFormat="1" ht="19.75" customHeight="1" x14ac:dyDescent="0.25">
      <c r="A880" s="7">
        <f>2016</f>
        <v>2016</v>
      </c>
      <c r="B880" s="2" t="s">
        <v>26</v>
      </c>
      <c r="C880" s="3">
        <v>735.42349999999999</v>
      </c>
    </row>
    <row r="881" spans="1:3" s="1" customFormat="1" ht="19.75" customHeight="1" x14ac:dyDescent="0.25">
      <c r="A881" s="7">
        <f>2016</f>
        <v>2016</v>
      </c>
      <c r="B881" s="2" t="s">
        <v>27</v>
      </c>
      <c r="C881" s="4">
        <v>1951.3091999999999</v>
      </c>
    </row>
    <row r="882" spans="1:3" s="1" customFormat="1" ht="19.75" customHeight="1" x14ac:dyDescent="0.25">
      <c r="A882" s="7">
        <f>2016</f>
        <v>2016</v>
      </c>
      <c r="B882" s="2" t="s">
        <v>107</v>
      </c>
      <c r="C882" s="3">
        <v>226.88829999999999</v>
      </c>
    </row>
    <row r="883" spans="1:3" s="1" customFormat="1" ht="19.75" customHeight="1" x14ac:dyDescent="0.25">
      <c r="A883" s="7">
        <f>2016</f>
        <v>2016</v>
      </c>
      <c r="B883" s="2" t="s">
        <v>28</v>
      </c>
      <c r="C883" s="4">
        <v>36.506599999999999</v>
      </c>
    </row>
    <row r="884" spans="1:3" s="1" customFormat="1" ht="19.75" customHeight="1" x14ac:dyDescent="0.25">
      <c r="A884" s="7">
        <f>2016</f>
        <v>2016</v>
      </c>
      <c r="B884" s="2" t="s">
        <v>29</v>
      </c>
      <c r="C884" s="3">
        <v>249.92830000000001</v>
      </c>
    </row>
    <row r="885" spans="1:3" s="1" customFormat="1" ht="19.75" customHeight="1" x14ac:dyDescent="0.25">
      <c r="A885" s="7">
        <f>2016</f>
        <v>2016</v>
      </c>
      <c r="B885" s="2" t="s">
        <v>30</v>
      </c>
      <c r="C885" s="4">
        <v>546.01239999999996</v>
      </c>
    </row>
    <row r="886" spans="1:3" s="1" customFormat="1" ht="19.75" customHeight="1" x14ac:dyDescent="0.25">
      <c r="A886" s="7">
        <f>2016</f>
        <v>2016</v>
      </c>
      <c r="B886" s="2" t="s">
        <v>31</v>
      </c>
      <c r="C886" s="3">
        <v>323.39940000000001</v>
      </c>
    </row>
    <row r="887" spans="1:3" s="1" customFormat="1" ht="19.75" customHeight="1" x14ac:dyDescent="0.25">
      <c r="A887" s="7">
        <f>2016</f>
        <v>2016</v>
      </c>
      <c r="B887" s="2" t="s">
        <v>32</v>
      </c>
      <c r="C887" s="4">
        <v>1763.0518</v>
      </c>
    </row>
    <row r="888" spans="1:3" s="1" customFormat="1" ht="19.75" customHeight="1" x14ac:dyDescent="0.25">
      <c r="A888" s="7">
        <f>2016</f>
        <v>2016</v>
      </c>
      <c r="B888" s="2" t="s">
        <v>17</v>
      </c>
      <c r="C888" s="3">
        <v>209.95240000000001</v>
      </c>
    </row>
    <row r="889" spans="1:3" s="1" customFormat="1" ht="19.75" customHeight="1" x14ac:dyDescent="0.25">
      <c r="A889" s="7">
        <f>2016</f>
        <v>2016</v>
      </c>
      <c r="B889" s="2" t="s">
        <v>112</v>
      </c>
      <c r="C889" s="4">
        <v>273.0924</v>
      </c>
    </row>
    <row r="890" spans="1:3" s="1" customFormat="1" ht="19.75" customHeight="1" x14ac:dyDescent="0.25">
      <c r="A890" s="7">
        <f>2016</f>
        <v>2016</v>
      </c>
      <c r="B890" s="2" t="s">
        <v>93</v>
      </c>
      <c r="C890" s="3">
        <v>12.335699999999999</v>
      </c>
    </row>
    <row r="891" spans="1:3" s="1" customFormat="1" ht="19.75" customHeight="1" x14ac:dyDescent="0.25">
      <c r="A891" s="7">
        <f>2016</f>
        <v>2016</v>
      </c>
      <c r="B891" s="2" t="s">
        <v>98</v>
      </c>
      <c r="C891" s="4">
        <v>12.572800000000001</v>
      </c>
    </row>
    <row r="892" spans="1:3" s="1" customFormat="1" ht="19.75" customHeight="1" x14ac:dyDescent="0.25">
      <c r="A892" s="7">
        <f>2016</f>
        <v>2016</v>
      </c>
      <c r="B892" s="2" t="s">
        <v>34</v>
      </c>
      <c r="C892" s="3">
        <v>97.683300000000003</v>
      </c>
    </row>
    <row r="893" spans="1:3" s="1" customFormat="1" ht="19.75" customHeight="1" x14ac:dyDescent="0.25">
      <c r="A893" s="7">
        <f>2016</f>
        <v>2016</v>
      </c>
      <c r="B893" s="2" t="s">
        <v>35</v>
      </c>
      <c r="C893" s="4">
        <v>34.939599999999999</v>
      </c>
    </row>
    <row r="894" spans="1:3" s="1" customFormat="1" ht="19.75" customHeight="1" x14ac:dyDescent="0.25">
      <c r="A894" s="7">
        <f>2016</f>
        <v>2016</v>
      </c>
      <c r="B894" s="2" t="s">
        <v>36</v>
      </c>
      <c r="C894" s="3">
        <v>504.60410000000002</v>
      </c>
    </row>
    <row r="895" spans="1:3" s="1" customFormat="1" ht="19.75" customHeight="1" x14ac:dyDescent="0.25">
      <c r="A895" s="7">
        <f>2016</f>
        <v>2016</v>
      </c>
      <c r="B895" s="2" t="s">
        <v>37</v>
      </c>
      <c r="C895" s="4">
        <v>32.532200000000003</v>
      </c>
    </row>
    <row r="896" spans="1:3" s="1" customFormat="1" ht="19.75" customHeight="1" x14ac:dyDescent="0.25">
      <c r="A896" s="7">
        <f>2016</f>
        <v>2016</v>
      </c>
      <c r="B896" s="2" t="s">
        <v>38</v>
      </c>
      <c r="C896" s="3">
        <v>12.475099999999999</v>
      </c>
    </row>
    <row r="897" spans="1:3" s="1" customFormat="1" ht="19.75" customHeight="1" x14ac:dyDescent="0.25">
      <c r="A897" s="7">
        <f>2016</f>
        <v>2016</v>
      </c>
      <c r="B897" s="2" t="s">
        <v>40</v>
      </c>
      <c r="C897" s="4">
        <v>149.0624</v>
      </c>
    </row>
    <row r="898" spans="1:3" s="1" customFormat="1" ht="19.75" customHeight="1" x14ac:dyDescent="0.25">
      <c r="A898" s="7">
        <f>2016</f>
        <v>2016</v>
      </c>
      <c r="B898" s="2" t="s">
        <v>41</v>
      </c>
      <c r="C898" s="3">
        <v>363.5566</v>
      </c>
    </row>
    <row r="899" spans="1:3" s="1" customFormat="1" ht="19.75" customHeight="1" x14ac:dyDescent="0.25">
      <c r="A899" s="7">
        <f>2016</f>
        <v>2016</v>
      </c>
      <c r="B899" s="2" t="s">
        <v>42</v>
      </c>
      <c r="C899" s="4">
        <v>326.52260000000001</v>
      </c>
    </row>
    <row r="900" spans="1:3" s="1" customFormat="1" ht="19.75" customHeight="1" x14ac:dyDescent="0.25">
      <c r="A900" s="7">
        <f>2016</f>
        <v>2016</v>
      </c>
      <c r="B900" s="2" t="s">
        <v>43</v>
      </c>
      <c r="C900" s="3">
        <v>2928.62</v>
      </c>
    </row>
    <row r="901" spans="1:3" s="1" customFormat="1" ht="19.75" customHeight="1" x14ac:dyDescent="0.25">
      <c r="A901" s="7">
        <f>2016</f>
        <v>2016</v>
      </c>
      <c r="B901" s="2" t="s">
        <v>119</v>
      </c>
      <c r="C901" s="4">
        <v>-0.21249999999999999</v>
      </c>
    </row>
    <row r="902" spans="1:3" s="1" customFormat="1" ht="19.75" customHeight="1" x14ac:dyDescent="0.25">
      <c r="A902" s="7">
        <f>2016</f>
        <v>2016</v>
      </c>
      <c r="B902" s="2" t="s">
        <v>44</v>
      </c>
      <c r="C902" s="3">
        <v>39.096400000000003</v>
      </c>
    </row>
    <row r="903" spans="1:3" s="1" customFormat="1" ht="19.75" customHeight="1" x14ac:dyDescent="0.25">
      <c r="A903" s="7">
        <f>2016</f>
        <v>2016</v>
      </c>
      <c r="B903" s="2" t="s">
        <v>45</v>
      </c>
      <c r="C903" s="4">
        <v>128.78100000000001</v>
      </c>
    </row>
    <row r="904" spans="1:3" s="1" customFormat="1" ht="19.75" customHeight="1" x14ac:dyDescent="0.25">
      <c r="A904" s="7">
        <f>2016</f>
        <v>2016</v>
      </c>
      <c r="B904" s="2" t="s">
        <v>94</v>
      </c>
      <c r="C904" s="3">
        <v>114.5864</v>
      </c>
    </row>
    <row r="905" spans="1:3" s="1" customFormat="1" ht="19.75" customHeight="1" x14ac:dyDescent="0.25">
      <c r="A905" s="7">
        <f>2016</f>
        <v>2016</v>
      </c>
      <c r="B905" s="2" t="s">
        <v>46</v>
      </c>
      <c r="C905" s="4">
        <v>22.141200000000001</v>
      </c>
    </row>
    <row r="906" spans="1:3" s="1" customFormat="1" ht="19.75" customHeight="1" x14ac:dyDescent="0.25">
      <c r="A906" s="7">
        <f>2016</f>
        <v>2016</v>
      </c>
      <c r="B906" s="2" t="s">
        <v>47</v>
      </c>
      <c r="C906" s="3">
        <v>421.61689999999999</v>
      </c>
    </row>
    <row r="907" spans="1:3" s="1" customFormat="1" ht="19.75" customHeight="1" x14ac:dyDescent="0.25">
      <c r="A907" s="7">
        <f>2016</f>
        <v>2016</v>
      </c>
      <c r="B907" s="2" t="s">
        <v>48</v>
      </c>
      <c r="C907" s="4">
        <v>1259.8409999999999</v>
      </c>
    </row>
    <row r="908" spans="1:3" s="1" customFormat="1" ht="19.75" customHeight="1" x14ac:dyDescent="0.25">
      <c r="A908" s="7">
        <f>2016</f>
        <v>2016</v>
      </c>
      <c r="B908" s="2" t="s">
        <v>49</v>
      </c>
      <c r="C908" s="3">
        <v>-8.0443999999999996</v>
      </c>
    </row>
    <row r="909" spans="1:3" s="1" customFormat="1" ht="19.75" customHeight="1" x14ac:dyDescent="0.25">
      <c r="A909" s="7">
        <f>2016</f>
        <v>2016</v>
      </c>
      <c r="B909" s="2" t="s">
        <v>51</v>
      </c>
      <c r="C909" s="4">
        <v>-2.8296999999999999</v>
      </c>
    </row>
    <row r="910" spans="1:3" s="1" customFormat="1" ht="19.75" customHeight="1" x14ac:dyDescent="0.25">
      <c r="A910" s="7">
        <f>2016</f>
        <v>2016</v>
      </c>
      <c r="B910" s="2" t="s">
        <v>52</v>
      </c>
      <c r="C910" s="3">
        <v>29.0886</v>
      </c>
    </row>
    <row r="911" spans="1:3" s="1" customFormat="1" ht="19.75" customHeight="1" x14ac:dyDescent="0.25">
      <c r="A911" s="7">
        <f>2016</f>
        <v>2016</v>
      </c>
      <c r="B911" s="2" t="s">
        <v>99</v>
      </c>
      <c r="C911" s="4">
        <v>1547.4345000000001</v>
      </c>
    </row>
    <row r="912" spans="1:3" s="1" customFormat="1" ht="19.75" customHeight="1" x14ac:dyDescent="0.25">
      <c r="A912" s="7">
        <f>2016</f>
        <v>2016</v>
      </c>
      <c r="B912" s="2" t="s">
        <v>53</v>
      </c>
      <c r="C912" s="3">
        <v>38.502400000000002</v>
      </c>
    </row>
    <row r="913" spans="1:3" s="1" customFormat="1" ht="19.75" customHeight="1" x14ac:dyDescent="0.25">
      <c r="A913" s="7">
        <f>2016</f>
        <v>2016</v>
      </c>
      <c r="B913" s="2" t="s">
        <v>54</v>
      </c>
      <c r="C913" s="4">
        <v>3.69</v>
      </c>
    </row>
    <row r="914" spans="1:3" s="1" customFormat="1" ht="19.75" customHeight="1" x14ac:dyDescent="0.25">
      <c r="A914" s="7">
        <f>2016</f>
        <v>2016</v>
      </c>
      <c r="B914" s="2" t="s">
        <v>55</v>
      </c>
      <c r="C914" s="3">
        <v>712.32960000000003</v>
      </c>
    </row>
    <row r="915" spans="1:3" s="1" customFormat="1" ht="19.75" customHeight="1" x14ac:dyDescent="0.25">
      <c r="A915" s="7">
        <f>2016</f>
        <v>2016</v>
      </c>
      <c r="B915" s="2" t="s">
        <v>56</v>
      </c>
      <c r="C915" s="4">
        <v>4.8525</v>
      </c>
    </row>
    <row r="916" spans="1:3" s="1" customFormat="1" ht="19.75" customHeight="1" x14ac:dyDescent="0.25">
      <c r="A916" s="7">
        <f>2016</f>
        <v>2016</v>
      </c>
      <c r="B916" s="2" t="s">
        <v>120</v>
      </c>
      <c r="C916" s="3">
        <v>-1.7344999999999999</v>
      </c>
    </row>
    <row r="917" spans="1:3" s="1" customFormat="1" ht="19.75" customHeight="1" x14ac:dyDescent="0.25">
      <c r="A917" s="7">
        <f>2016</f>
        <v>2016</v>
      </c>
      <c r="B917" s="2" t="s">
        <v>57</v>
      </c>
      <c r="C917" s="4">
        <v>8.5394000000000005</v>
      </c>
    </row>
    <row r="918" spans="1:3" s="1" customFormat="1" ht="19.75" customHeight="1" x14ac:dyDescent="0.25">
      <c r="A918" s="7">
        <f>2016</f>
        <v>2016</v>
      </c>
      <c r="B918" s="2" t="s">
        <v>95</v>
      </c>
      <c r="C918" s="3">
        <v>5.2729999999999997</v>
      </c>
    </row>
    <row r="919" spans="1:3" s="1" customFormat="1" ht="19.75" customHeight="1" x14ac:dyDescent="0.25">
      <c r="A919" s="7">
        <f>2016</f>
        <v>2016</v>
      </c>
      <c r="B919" s="2" t="s">
        <v>59</v>
      </c>
      <c r="C919" s="4">
        <v>6.7633999999999999</v>
      </c>
    </row>
    <row r="920" spans="1:3" s="1" customFormat="1" ht="19.75" customHeight="1" x14ac:dyDescent="0.25">
      <c r="A920" s="7">
        <f>2016</f>
        <v>2016</v>
      </c>
      <c r="B920" s="2" t="s">
        <v>60</v>
      </c>
      <c r="C920" s="3">
        <v>116.0129</v>
      </c>
    </row>
    <row r="921" spans="1:3" s="1" customFormat="1" ht="19.75" customHeight="1" x14ac:dyDescent="0.25">
      <c r="A921" s="7">
        <f>2016</f>
        <v>2016</v>
      </c>
      <c r="B921" s="2" t="s">
        <v>61</v>
      </c>
      <c r="C921" s="4">
        <v>372.28559999999999</v>
      </c>
    </row>
    <row r="922" spans="1:3" s="1" customFormat="1" ht="19.75" customHeight="1" x14ac:dyDescent="0.25">
      <c r="A922" s="7">
        <f>2016</f>
        <v>2016</v>
      </c>
      <c r="B922" s="2" t="s">
        <v>111</v>
      </c>
      <c r="C922" s="3">
        <v>11.836600000000001</v>
      </c>
    </row>
    <row r="923" spans="1:3" s="1" customFormat="1" ht="19.75" customHeight="1" x14ac:dyDescent="0.25">
      <c r="A923" s="7">
        <f>2016</f>
        <v>2016</v>
      </c>
      <c r="B923" s="2" t="s">
        <v>64</v>
      </c>
      <c r="C923" s="4">
        <v>1.2223999999999999</v>
      </c>
    </row>
    <row r="924" spans="1:3" s="1" customFormat="1" ht="19.75" customHeight="1" x14ac:dyDescent="0.25">
      <c r="A924" s="7">
        <f>2016</f>
        <v>2016</v>
      </c>
      <c r="B924" s="2" t="s">
        <v>66</v>
      </c>
      <c r="C924" s="3">
        <v>18.640599999999999</v>
      </c>
    </row>
    <row r="925" spans="1:3" s="1" customFormat="1" ht="19.75" customHeight="1" x14ac:dyDescent="0.25">
      <c r="A925" s="7">
        <f>2016</f>
        <v>2016</v>
      </c>
      <c r="B925" s="2" t="s">
        <v>67</v>
      </c>
      <c r="C925" s="4">
        <v>64.481700000000004</v>
      </c>
    </row>
    <row r="926" spans="1:3" s="1" customFormat="1" ht="19.75" customHeight="1" x14ac:dyDescent="0.25">
      <c r="A926" s="7">
        <f>2016</f>
        <v>2016</v>
      </c>
      <c r="B926" s="2" t="s">
        <v>68</v>
      </c>
      <c r="C926" s="3">
        <v>49.865000000000002</v>
      </c>
    </row>
    <row r="927" spans="1:3" s="1" customFormat="1" ht="19.75" customHeight="1" x14ac:dyDescent="0.25">
      <c r="A927" s="7">
        <f>2016</f>
        <v>2016</v>
      </c>
      <c r="B927" s="2" t="s">
        <v>69</v>
      </c>
      <c r="C927" s="4">
        <v>53.896999999999998</v>
      </c>
    </row>
    <row r="928" spans="1:3" s="1" customFormat="1" ht="19.75" customHeight="1" x14ac:dyDescent="0.25">
      <c r="A928" s="7">
        <f>2016</f>
        <v>2016</v>
      </c>
      <c r="B928" s="2" t="s">
        <v>96</v>
      </c>
      <c r="C928" s="3">
        <v>1.3070999999999999</v>
      </c>
    </row>
    <row r="929" spans="1:3" s="1" customFormat="1" ht="19.75" customHeight="1" x14ac:dyDescent="0.25">
      <c r="A929" s="7">
        <f>2016</f>
        <v>2016</v>
      </c>
      <c r="B929" s="2" t="s">
        <v>71</v>
      </c>
      <c r="C929" s="4">
        <v>3934.4868999999999</v>
      </c>
    </row>
    <row r="930" spans="1:3" s="1" customFormat="1" ht="19.75" customHeight="1" x14ac:dyDescent="0.25">
      <c r="A930" s="7">
        <f>2016</f>
        <v>2016</v>
      </c>
      <c r="B930" s="2" t="s">
        <v>72</v>
      </c>
      <c r="C930" s="3">
        <v>114.04859999999999</v>
      </c>
    </row>
    <row r="931" spans="1:3" s="1" customFormat="1" ht="19.75" customHeight="1" x14ac:dyDescent="0.25">
      <c r="A931" s="7">
        <f>2016</f>
        <v>2016</v>
      </c>
      <c r="B931" s="2" t="s">
        <v>75</v>
      </c>
      <c r="C931" s="4">
        <v>27.125299999999999</v>
      </c>
    </row>
    <row r="932" spans="1:3" s="1" customFormat="1" ht="19.75" customHeight="1" x14ac:dyDescent="0.25">
      <c r="A932" s="7">
        <f>2016</f>
        <v>2016</v>
      </c>
      <c r="B932" s="2" t="s">
        <v>108</v>
      </c>
      <c r="C932" s="3">
        <v>19.4785</v>
      </c>
    </row>
    <row r="933" spans="1:3" s="1" customFormat="1" ht="19.75" customHeight="1" x14ac:dyDescent="0.25">
      <c r="A933" s="7">
        <f>2016</f>
        <v>2016</v>
      </c>
      <c r="B933" s="2" t="s">
        <v>76</v>
      </c>
      <c r="C933" s="4">
        <v>10.912800000000001</v>
      </c>
    </row>
    <row r="934" spans="1:3" s="1" customFormat="1" ht="19.75" customHeight="1" x14ac:dyDescent="0.25">
      <c r="A934" s="7">
        <f>2016</f>
        <v>2016</v>
      </c>
      <c r="B934" s="2" t="s">
        <v>100</v>
      </c>
      <c r="C934" s="3">
        <v>98.631500000000003</v>
      </c>
    </row>
    <row r="935" spans="1:3" s="1" customFormat="1" ht="19.75" customHeight="1" x14ac:dyDescent="0.25">
      <c r="A935" s="7">
        <f>2015</f>
        <v>2015</v>
      </c>
      <c r="B935" s="2" t="s">
        <v>113</v>
      </c>
      <c r="C935" s="4">
        <v>1327.25</v>
      </c>
    </row>
    <row r="936" spans="1:3" s="1" customFormat="1" ht="19.75" customHeight="1" x14ac:dyDescent="0.25">
      <c r="A936" s="7">
        <f>2015</f>
        <v>2015</v>
      </c>
      <c r="B936" s="2" t="s">
        <v>114</v>
      </c>
      <c r="C936" s="3">
        <v>1596.53</v>
      </c>
    </row>
    <row r="937" spans="1:3" s="1" customFormat="1" ht="19.75" customHeight="1" x14ac:dyDescent="0.25">
      <c r="A937" s="7">
        <f>2015</f>
        <v>2015</v>
      </c>
      <c r="B937" s="2" t="s">
        <v>9</v>
      </c>
      <c r="C937" s="4">
        <v>26435.7</v>
      </c>
    </row>
    <row r="938" spans="1:3" s="1" customFormat="1" ht="19.75" customHeight="1" x14ac:dyDescent="0.25">
      <c r="A938" s="7">
        <f>2015</f>
        <v>2015</v>
      </c>
      <c r="B938" s="2" t="s">
        <v>115</v>
      </c>
      <c r="C938" s="3">
        <v>922.19</v>
      </c>
    </row>
    <row r="939" spans="1:3" s="1" customFormat="1" ht="19.75" customHeight="1" x14ac:dyDescent="0.25">
      <c r="A939" s="7">
        <f>2015</f>
        <v>2015</v>
      </c>
      <c r="B939" s="2" t="s">
        <v>116</v>
      </c>
      <c r="C939" s="4">
        <v>1237.4000000000001</v>
      </c>
    </row>
    <row r="940" spans="1:3" s="1" customFormat="1" ht="19.75" customHeight="1" x14ac:dyDescent="0.25">
      <c r="A940" s="7">
        <f>2015</f>
        <v>2015</v>
      </c>
      <c r="B940" s="2" t="s">
        <v>117</v>
      </c>
      <c r="C940" s="3">
        <v>1036.6300000000001</v>
      </c>
    </row>
    <row r="941" spans="1:3" s="1" customFormat="1" ht="19.75" customHeight="1" x14ac:dyDescent="0.25">
      <c r="A941" s="7">
        <f>2015</f>
        <v>2015</v>
      </c>
      <c r="B941" s="2" t="s">
        <v>101</v>
      </c>
      <c r="C941" s="4">
        <v>3838.8</v>
      </c>
    </row>
    <row r="942" spans="1:3" s="1" customFormat="1" ht="19.75" customHeight="1" x14ac:dyDescent="0.25">
      <c r="A942" s="7">
        <f>2015</f>
        <v>2015</v>
      </c>
      <c r="B942" s="2" t="s">
        <v>102</v>
      </c>
      <c r="C942" s="3">
        <v>2660</v>
      </c>
    </row>
    <row r="943" spans="1:3" s="1" customFormat="1" ht="19.75" customHeight="1" x14ac:dyDescent="0.25">
      <c r="A943" s="7">
        <f>2015</f>
        <v>2015</v>
      </c>
      <c r="B943" s="2" t="s">
        <v>0</v>
      </c>
      <c r="C943" s="4">
        <v>6516.66</v>
      </c>
    </row>
    <row r="944" spans="1:3" s="1" customFormat="1" ht="19.75" customHeight="1" x14ac:dyDescent="0.25">
      <c r="A944" s="7">
        <f>2015</f>
        <v>2015</v>
      </c>
      <c r="B944" s="2" t="s">
        <v>1</v>
      </c>
      <c r="C944" s="3">
        <v>5778.85</v>
      </c>
    </row>
    <row r="945" spans="1:3" s="1" customFormat="1" ht="19.75" customHeight="1" x14ac:dyDescent="0.25">
      <c r="A945" s="7">
        <f>2015</f>
        <v>2015</v>
      </c>
      <c r="B945" s="2" t="s">
        <v>2</v>
      </c>
      <c r="C945" s="4">
        <v>1904.4</v>
      </c>
    </row>
    <row r="946" spans="1:3" s="1" customFormat="1" ht="19.75" customHeight="1" x14ac:dyDescent="0.25">
      <c r="A946" s="7">
        <f>2015</f>
        <v>2015</v>
      </c>
      <c r="B946" s="2" t="s">
        <v>118</v>
      </c>
      <c r="C946" s="3">
        <v>11.11</v>
      </c>
    </row>
    <row r="947" spans="1:3" s="1" customFormat="1" ht="19.75" customHeight="1" x14ac:dyDescent="0.25">
      <c r="A947" s="7">
        <f>2015</f>
        <v>2015</v>
      </c>
      <c r="B947" s="2" t="s">
        <v>3</v>
      </c>
      <c r="C947" s="4">
        <v>4247.74</v>
      </c>
    </row>
    <row r="948" spans="1:3" s="1" customFormat="1" ht="19.75" customHeight="1" x14ac:dyDescent="0.25">
      <c r="A948" s="7">
        <f>2015</f>
        <v>2015</v>
      </c>
      <c r="B948" s="2" t="s">
        <v>4</v>
      </c>
      <c r="C948" s="3">
        <v>2953</v>
      </c>
    </row>
    <row r="949" spans="1:3" s="1" customFormat="1" ht="19.75" customHeight="1" x14ac:dyDescent="0.25">
      <c r="A949" s="7">
        <f>2015</f>
        <v>2015</v>
      </c>
      <c r="B949" s="2" t="s">
        <v>103</v>
      </c>
      <c r="C949" s="4">
        <v>2443.19</v>
      </c>
    </row>
    <row r="950" spans="1:3" s="1" customFormat="1" ht="19.75" customHeight="1" x14ac:dyDescent="0.25">
      <c r="A950" s="7">
        <f>2015</f>
        <v>2015</v>
      </c>
      <c r="B950" s="2" t="s">
        <v>109</v>
      </c>
      <c r="C950" s="3">
        <v>1064.79</v>
      </c>
    </row>
    <row r="951" spans="1:3" s="1" customFormat="1" ht="19.75" customHeight="1" x14ac:dyDescent="0.25">
      <c r="A951" s="7">
        <f>2015</f>
        <v>2015</v>
      </c>
      <c r="B951" s="2" t="s">
        <v>5</v>
      </c>
      <c r="C951" s="4">
        <v>2008.54</v>
      </c>
    </row>
    <row r="952" spans="1:3" s="1" customFormat="1" ht="19.75" customHeight="1" x14ac:dyDescent="0.25">
      <c r="A952" s="7">
        <f>2015</f>
        <v>2015</v>
      </c>
      <c r="B952" s="2" t="s">
        <v>6</v>
      </c>
      <c r="C952" s="3">
        <v>3776.67</v>
      </c>
    </row>
    <row r="953" spans="1:3" s="1" customFormat="1" ht="19.75" customHeight="1" x14ac:dyDescent="0.25">
      <c r="A953" s="7">
        <f>2015</f>
        <v>2015</v>
      </c>
      <c r="B953" s="2" t="s">
        <v>104</v>
      </c>
      <c r="C953" s="4">
        <v>3449.57</v>
      </c>
    </row>
    <row r="954" spans="1:3" s="1" customFormat="1" ht="19.75" customHeight="1" x14ac:dyDescent="0.25">
      <c r="A954" s="7">
        <f>2015</f>
        <v>2015</v>
      </c>
      <c r="B954" s="2" t="s">
        <v>7</v>
      </c>
      <c r="C954" s="3">
        <v>654.09929999999997</v>
      </c>
    </row>
    <row r="955" spans="1:3" s="1" customFormat="1" ht="19.75" customHeight="1" x14ac:dyDescent="0.25">
      <c r="A955" s="7">
        <f>2015</f>
        <v>2015</v>
      </c>
      <c r="B955" s="2" t="s">
        <v>8</v>
      </c>
      <c r="C955" s="4">
        <v>8893.17</v>
      </c>
    </row>
    <row r="956" spans="1:3" s="1" customFormat="1" ht="19.75" customHeight="1" x14ac:dyDescent="0.25">
      <c r="A956" s="7">
        <f>2015</f>
        <v>2015</v>
      </c>
      <c r="B956" s="2" t="s">
        <v>105</v>
      </c>
      <c r="C956" s="3">
        <v>2484.35</v>
      </c>
    </row>
    <row r="957" spans="1:3" s="1" customFormat="1" ht="19.75" customHeight="1" x14ac:dyDescent="0.25">
      <c r="A957" s="7">
        <f>2015</f>
        <v>2015</v>
      </c>
      <c r="B957" s="2" t="s">
        <v>10</v>
      </c>
      <c r="C957" s="4">
        <v>3772.42</v>
      </c>
    </row>
    <row r="958" spans="1:3" s="1" customFormat="1" ht="19.75" customHeight="1" x14ac:dyDescent="0.25">
      <c r="A958" s="7">
        <f>2015</f>
        <v>2015</v>
      </c>
      <c r="B958" s="2" t="s">
        <v>11</v>
      </c>
      <c r="C958" s="3">
        <v>4041.83</v>
      </c>
    </row>
    <row r="959" spans="1:3" s="1" customFormat="1" ht="19.75" customHeight="1" x14ac:dyDescent="0.25">
      <c r="A959" s="7">
        <f>2015</f>
        <v>2015</v>
      </c>
      <c r="B959" s="2" t="s">
        <v>106</v>
      </c>
      <c r="C959" s="4">
        <v>2171.9499999999998</v>
      </c>
    </row>
    <row r="960" spans="1:3" s="1" customFormat="1" ht="19.75" customHeight="1" x14ac:dyDescent="0.25">
      <c r="A960" s="7">
        <f>2015</f>
        <v>2015</v>
      </c>
      <c r="B960" s="2" t="s">
        <v>110</v>
      </c>
      <c r="C960" s="3">
        <v>819.62</v>
      </c>
    </row>
    <row r="961" spans="1:3" s="1" customFormat="1" ht="19.75" customHeight="1" x14ac:dyDescent="0.25">
      <c r="A961" s="7">
        <f>2015</f>
        <v>2015</v>
      </c>
      <c r="B961" s="2" t="s">
        <v>21</v>
      </c>
      <c r="C961" s="4">
        <v>4854.72</v>
      </c>
    </row>
    <row r="962" spans="1:3" s="1" customFormat="1" ht="19.75" customHeight="1" x14ac:dyDescent="0.25">
      <c r="A962" s="7">
        <f>2015</f>
        <v>2015</v>
      </c>
      <c r="B962" s="2" t="s">
        <v>12</v>
      </c>
      <c r="C962" s="3">
        <v>6027.62</v>
      </c>
    </row>
    <row r="963" spans="1:3" s="1" customFormat="1" ht="19.75" customHeight="1" x14ac:dyDescent="0.25">
      <c r="A963" s="7">
        <f>2015</f>
        <v>2015</v>
      </c>
      <c r="B963" s="2" t="s">
        <v>14</v>
      </c>
      <c r="C963" s="4">
        <v>308.52</v>
      </c>
    </row>
    <row r="964" spans="1:3" s="1" customFormat="1" ht="19.75" customHeight="1" x14ac:dyDescent="0.25">
      <c r="A964" s="7">
        <f>2015</f>
        <v>2015</v>
      </c>
      <c r="B964" s="2" t="s">
        <v>15</v>
      </c>
      <c r="C964" s="3">
        <v>103.24</v>
      </c>
    </row>
    <row r="965" spans="1:3" s="1" customFormat="1" ht="19.75" customHeight="1" x14ac:dyDescent="0.25">
      <c r="A965" s="7">
        <f>2015</f>
        <v>2015</v>
      </c>
      <c r="B965" s="2" t="s">
        <v>16</v>
      </c>
      <c r="C965" s="4">
        <v>86.263499999999993</v>
      </c>
    </row>
    <row r="966" spans="1:3" s="1" customFormat="1" ht="19.75" customHeight="1" x14ac:dyDescent="0.25">
      <c r="A966" s="7">
        <f>2015</f>
        <v>2015</v>
      </c>
      <c r="B966" s="2" t="s">
        <v>18</v>
      </c>
      <c r="C966" s="3">
        <v>622.03</v>
      </c>
    </row>
    <row r="967" spans="1:3" s="1" customFormat="1" ht="19.75" customHeight="1" x14ac:dyDescent="0.25">
      <c r="A967" s="7">
        <f>2015</f>
        <v>2015</v>
      </c>
      <c r="B967" s="2" t="s">
        <v>19</v>
      </c>
      <c r="C967" s="4">
        <v>7188.56</v>
      </c>
    </row>
    <row r="968" spans="1:3" s="1" customFormat="1" ht="19.75" customHeight="1" x14ac:dyDescent="0.25">
      <c r="A968" s="7">
        <f>2015</f>
        <v>2015</v>
      </c>
      <c r="B968" s="2" t="s">
        <v>20</v>
      </c>
      <c r="C968" s="3">
        <v>8544.5499999999993</v>
      </c>
    </row>
    <row r="969" spans="1:3" s="1" customFormat="1" ht="19.75" customHeight="1" x14ac:dyDescent="0.25">
      <c r="A969" s="7">
        <f>2015</f>
        <v>2015</v>
      </c>
      <c r="B969" s="2" t="s">
        <v>23</v>
      </c>
      <c r="C969" s="4">
        <v>1304.5</v>
      </c>
    </row>
    <row r="970" spans="1:3" s="1" customFormat="1" ht="19.75" customHeight="1" x14ac:dyDescent="0.25">
      <c r="A970" s="7">
        <f>2015</f>
        <v>2015</v>
      </c>
      <c r="B970" s="2" t="s">
        <v>121</v>
      </c>
      <c r="C970" s="3">
        <v>656.05679999999995</v>
      </c>
    </row>
    <row r="971" spans="1:3" s="1" customFormat="1" ht="19.75" customHeight="1" x14ac:dyDescent="0.25">
      <c r="A971" s="7">
        <f>2015</f>
        <v>2015</v>
      </c>
      <c r="B971" s="2" t="s">
        <v>24</v>
      </c>
      <c r="C971" s="4">
        <v>1327.23</v>
      </c>
    </row>
    <row r="972" spans="1:3" s="1" customFormat="1" ht="19.75" customHeight="1" x14ac:dyDescent="0.25">
      <c r="A972" s="7">
        <f>2015</f>
        <v>2015</v>
      </c>
      <c r="B972" s="2" t="s">
        <v>25</v>
      </c>
      <c r="C972" s="3">
        <v>321.93</v>
      </c>
    </row>
    <row r="973" spans="1:3" s="1" customFormat="1" ht="19.75" customHeight="1" x14ac:dyDescent="0.25">
      <c r="A973" s="7">
        <f>2015</f>
        <v>2015</v>
      </c>
      <c r="B973" s="2" t="s">
        <v>26</v>
      </c>
      <c r="C973" s="4">
        <v>487.68</v>
      </c>
    </row>
    <row r="974" spans="1:3" s="1" customFormat="1" ht="19.75" customHeight="1" x14ac:dyDescent="0.25">
      <c r="A974" s="7">
        <f>2015</f>
        <v>2015</v>
      </c>
      <c r="B974" s="2" t="s">
        <v>27</v>
      </c>
      <c r="C974" s="3">
        <v>1131.48</v>
      </c>
    </row>
    <row r="975" spans="1:3" s="1" customFormat="1" ht="19.75" customHeight="1" x14ac:dyDescent="0.25">
      <c r="A975" s="7">
        <f>2015</f>
        <v>2015</v>
      </c>
      <c r="B975" s="2" t="s">
        <v>107</v>
      </c>
      <c r="C975" s="4">
        <v>236.12</v>
      </c>
    </row>
    <row r="976" spans="1:3" s="1" customFormat="1" ht="19.75" customHeight="1" x14ac:dyDescent="0.25">
      <c r="A976" s="7">
        <f>2015</f>
        <v>2015</v>
      </c>
      <c r="B976" s="2" t="s">
        <v>28</v>
      </c>
      <c r="C976" s="3">
        <v>38.229999999999997</v>
      </c>
    </row>
    <row r="977" spans="1:3" s="1" customFormat="1" ht="19.75" customHeight="1" x14ac:dyDescent="0.25">
      <c r="A977" s="7">
        <f>2015</f>
        <v>2015</v>
      </c>
      <c r="B977" s="2" t="s">
        <v>29</v>
      </c>
      <c r="C977" s="4">
        <v>152.94999999999999</v>
      </c>
    </row>
    <row r="978" spans="1:3" s="1" customFormat="1" ht="19.75" customHeight="1" x14ac:dyDescent="0.25">
      <c r="A978" s="7">
        <f>2015</f>
        <v>2015</v>
      </c>
      <c r="B978" s="2" t="s">
        <v>30</v>
      </c>
      <c r="C978" s="3">
        <v>574.79</v>
      </c>
    </row>
    <row r="979" spans="1:3" s="1" customFormat="1" ht="19.75" customHeight="1" x14ac:dyDescent="0.25">
      <c r="A979" s="7">
        <f>2015</f>
        <v>2015</v>
      </c>
      <c r="B979" s="2" t="s">
        <v>31</v>
      </c>
      <c r="C979" s="4">
        <v>227.96</v>
      </c>
    </row>
    <row r="980" spans="1:3" s="1" customFormat="1" ht="19.75" customHeight="1" x14ac:dyDescent="0.25">
      <c r="A980" s="7">
        <f>2015</f>
        <v>2015</v>
      </c>
      <c r="B980" s="2" t="s">
        <v>32</v>
      </c>
      <c r="C980" s="3">
        <v>1244.2248999999999</v>
      </c>
    </row>
    <row r="981" spans="1:3" s="1" customFormat="1" ht="19.75" customHeight="1" x14ac:dyDescent="0.25">
      <c r="A981" s="7">
        <f>2015</f>
        <v>2015</v>
      </c>
      <c r="B981" s="2" t="s">
        <v>17</v>
      </c>
      <c r="C981" s="4">
        <v>267.06</v>
      </c>
    </row>
    <row r="982" spans="1:3" s="1" customFormat="1" ht="19.75" customHeight="1" x14ac:dyDescent="0.25">
      <c r="A982" s="7">
        <f>2015</f>
        <v>2015</v>
      </c>
      <c r="B982" s="2" t="s">
        <v>93</v>
      </c>
      <c r="C982" s="3">
        <v>8.8530999999999995</v>
      </c>
    </row>
    <row r="983" spans="1:3" s="1" customFormat="1" ht="19.75" customHeight="1" x14ac:dyDescent="0.25">
      <c r="A983" s="7">
        <f>2015</f>
        <v>2015</v>
      </c>
      <c r="B983" s="2" t="s">
        <v>98</v>
      </c>
      <c r="C983" s="4">
        <v>20.0852</v>
      </c>
    </row>
    <row r="984" spans="1:3" s="1" customFormat="1" ht="19.75" customHeight="1" x14ac:dyDescent="0.25">
      <c r="A984" s="7">
        <f>2015</f>
        <v>2015</v>
      </c>
      <c r="B984" s="2" t="s">
        <v>34</v>
      </c>
      <c r="C984" s="3">
        <v>46.981299999999997</v>
      </c>
    </row>
    <row r="985" spans="1:3" s="1" customFormat="1" ht="19.75" customHeight="1" x14ac:dyDescent="0.25">
      <c r="A985" s="7">
        <f>2015</f>
        <v>2015</v>
      </c>
      <c r="B985" s="2" t="s">
        <v>35</v>
      </c>
      <c r="C985" s="4">
        <v>41.632300000000001</v>
      </c>
    </row>
    <row r="986" spans="1:3" s="1" customFormat="1" ht="19.75" customHeight="1" x14ac:dyDescent="0.25">
      <c r="A986" s="7">
        <f>2015</f>
        <v>2015</v>
      </c>
      <c r="B986" s="2" t="s">
        <v>36</v>
      </c>
      <c r="C986" s="3">
        <v>514.55039999999997</v>
      </c>
    </row>
    <row r="987" spans="1:3" s="1" customFormat="1" ht="19.75" customHeight="1" x14ac:dyDescent="0.25">
      <c r="A987" s="7">
        <f>2015</f>
        <v>2015</v>
      </c>
      <c r="B987" s="2" t="s">
        <v>37</v>
      </c>
      <c r="C987" s="4">
        <v>20.54</v>
      </c>
    </row>
    <row r="988" spans="1:3" s="1" customFormat="1" ht="19.75" customHeight="1" x14ac:dyDescent="0.25">
      <c r="A988" s="7">
        <f>2015</f>
        <v>2015</v>
      </c>
      <c r="B988" s="2" t="s">
        <v>38</v>
      </c>
      <c r="C988" s="3">
        <v>12.83</v>
      </c>
    </row>
    <row r="989" spans="1:3" s="1" customFormat="1" ht="19.75" customHeight="1" x14ac:dyDescent="0.25">
      <c r="A989" s="7">
        <f>2015</f>
        <v>2015</v>
      </c>
      <c r="B989" s="2" t="s">
        <v>40</v>
      </c>
      <c r="C989" s="4">
        <v>218.5146</v>
      </c>
    </row>
    <row r="990" spans="1:3" s="1" customFormat="1" ht="19.75" customHeight="1" x14ac:dyDescent="0.25">
      <c r="A990" s="7">
        <f>2015</f>
        <v>2015</v>
      </c>
      <c r="B990" s="2" t="s">
        <v>41</v>
      </c>
      <c r="C990" s="3">
        <v>439.29</v>
      </c>
    </row>
    <row r="991" spans="1:3" s="1" customFormat="1" ht="19.75" customHeight="1" x14ac:dyDescent="0.25">
      <c r="A991" s="7">
        <f>2015</f>
        <v>2015</v>
      </c>
      <c r="B991" s="2" t="s">
        <v>42</v>
      </c>
      <c r="C991" s="4">
        <v>264.27</v>
      </c>
    </row>
    <row r="992" spans="1:3" s="1" customFormat="1" ht="19.75" customHeight="1" x14ac:dyDescent="0.25">
      <c r="A992" s="7">
        <f>2015</f>
        <v>2015</v>
      </c>
      <c r="B992" s="2" t="s">
        <v>43</v>
      </c>
      <c r="C992" s="3">
        <v>2610.4</v>
      </c>
    </row>
    <row r="993" spans="1:3" s="1" customFormat="1" ht="19.75" customHeight="1" x14ac:dyDescent="0.25">
      <c r="A993" s="7">
        <f>2015</f>
        <v>2015</v>
      </c>
      <c r="B993" s="2" t="s">
        <v>119</v>
      </c>
      <c r="C993" s="4">
        <v>8.4699999999999998E-2</v>
      </c>
    </row>
    <row r="994" spans="1:3" s="1" customFormat="1" ht="19.75" customHeight="1" x14ac:dyDescent="0.25">
      <c r="A994" s="7">
        <f>2015</f>
        <v>2015</v>
      </c>
      <c r="B994" s="2" t="s">
        <v>44</v>
      </c>
      <c r="C994" s="3">
        <v>20.537500000000001</v>
      </c>
    </row>
    <row r="995" spans="1:3" s="1" customFormat="1" ht="19.75" customHeight="1" x14ac:dyDescent="0.25">
      <c r="A995" s="7">
        <f>2015</f>
        <v>2015</v>
      </c>
      <c r="B995" s="2" t="s">
        <v>45</v>
      </c>
      <c r="C995" s="4">
        <v>114.31</v>
      </c>
    </row>
    <row r="996" spans="1:3" s="1" customFormat="1" ht="19.75" customHeight="1" x14ac:dyDescent="0.25">
      <c r="A996" s="7">
        <f>2015</f>
        <v>2015</v>
      </c>
      <c r="B996" s="2" t="s">
        <v>94</v>
      </c>
      <c r="C996" s="3">
        <v>202.47</v>
      </c>
    </row>
    <row r="997" spans="1:3" s="1" customFormat="1" ht="19.75" customHeight="1" x14ac:dyDescent="0.25">
      <c r="A997" s="7">
        <f>2015</f>
        <v>2015</v>
      </c>
      <c r="B997" s="2" t="s">
        <v>46</v>
      </c>
      <c r="C997" s="4">
        <v>7.66</v>
      </c>
    </row>
    <row r="998" spans="1:3" s="1" customFormat="1" ht="19.75" customHeight="1" x14ac:dyDescent="0.25">
      <c r="A998" s="7">
        <f>2015</f>
        <v>2015</v>
      </c>
      <c r="B998" s="2" t="s">
        <v>47</v>
      </c>
      <c r="C998" s="3">
        <v>703.97969999999998</v>
      </c>
    </row>
    <row r="999" spans="1:3" s="1" customFormat="1" ht="19.75" customHeight="1" x14ac:dyDescent="0.25">
      <c r="A999" s="7">
        <f>2015</f>
        <v>2015</v>
      </c>
      <c r="B999" s="2" t="s">
        <v>48</v>
      </c>
      <c r="C999" s="4">
        <v>1154.7654</v>
      </c>
    </row>
    <row r="1000" spans="1:3" s="1" customFormat="1" ht="19.75" customHeight="1" x14ac:dyDescent="0.25">
      <c r="A1000" s="7">
        <f>2015</f>
        <v>2015</v>
      </c>
      <c r="B1000" s="2" t="s">
        <v>49</v>
      </c>
      <c r="C1000" s="3">
        <v>0.81259999999999999</v>
      </c>
    </row>
    <row r="1001" spans="1:3" s="1" customFormat="1" ht="19.75" customHeight="1" x14ac:dyDescent="0.25">
      <c r="A1001" s="7">
        <f>2015</f>
        <v>2015</v>
      </c>
      <c r="B1001" s="2" t="s">
        <v>52</v>
      </c>
      <c r="C1001" s="4">
        <v>8.4356000000000009</v>
      </c>
    </row>
    <row r="1002" spans="1:3" s="1" customFormat="1" ht="19.75" customHeight="1" x14ac:dyDescent="0.25">
      <c r="A1002" s="7">
        <f>2015</f>
        <v>2015</v>
      </c>
      <c r="B1002" s="2" t="s">
        <v>99</v>
      </c>
      <c r="C1002" s="3">
        <v>1327.3878999999999</v>
      </c>
    </row>
    <row r="1003" spans="1:3" s="1" customFormat="1" ht="19.75" customHeight="1" x14ac:dyDescent="0.25">
      <c r="A1003" s="7">
        <f>2015</f>
        <v>2015</v>
      </c>
      <c r="B1003" s="2" t="s">
        <v>122</v>
      </c>
      <c r="C1003" s="4">
        <v>-0.92269999999999996</v>
      </c>
    </row>
    <row r="1004" spans="1:3" s="1" customFormat="1" ht="19.75" customHeight="1" x14ac:dyDescent="0.25">
      <c r="A1004" s="7">
        <f>2015</f>
        <v>2015</v>
      </c>
      <c r="B1004" s="2" t="s">
        <v>53</v>
      </c>
      <c r="C1004" s="3">
        <v>31.2043</v>
      </c>
    </row>
    <row r="1005" spans="1:3" s="1" customFormat="1" ht="19.75" customHeight="1" x14ac:dyDescent="0.25">
      <c r="A1005" s="7">
        <f>2015</f>
        <v>2015</v>
      </c>
      <c r="B1005" s="2" t="s">
        <v>55</v>
      </c>
      <c r="C1005" s="4">
        <v>645.37310000000002</v>
      </c>
    </row>
    <row r="1006" spans="1:3" s="1" customFormat="1" ht="19.75" customHeight="1" x14ac:dyDescent="0.25">
      <c r="A1006" s="7">
        <f>2015</f>
        <v>2015</v>
      </c>
      <c r="B1006" s="2" t="s">
        <v>56</v>
      </c>
      <c r="C1006" s="3">
        <v>6.25</v>
      </c>
    </row>
    <row r="1007" spans="1:3" s="1" customFormat="1" ht="19.75" customHeight="1" x14ac:dyDescent="0.25">
      <c r="A1007" s="7">
        <f>2015</f>
        <v>2015</v>
      </c>
      <c r="B1007" s="2" t="s">
        <v>123</v>
      </c>
      <c r="C1007" s="4">
        <v>35.646299999999997</v>
      </c>
    </row>
    <row r="1008" spans="1:3" s="1" customFormat="1" ht="19.75" customHeight="1" x14ac:dyDescent="0.25">
      <c r="A1008" s="7">
        <f>2015</f>
        <v>2015</v>
      </c>
      <c r="B1008" s="2" t="s">
        <v>95</v>
      </c>
      <c r="C1008" s="3">
        <v>5.2176999999999998</v>
      </c>
    </row>
    <row r="1009" spans="1:3" s="1" customFormat="1" ht="19.75" customHeight="1" x14ac:dyDescent="0.25">
      <c r="A1009" s="7">
        <f>2015</f>
        <v>2015</v>
      </c>
      <c r="B1009" s="2" t="s">
        <v>59</v>
      </c>
      <c r="C1009" s="4">
        <v>14.1378</v>
      </c>
    </row>
    <row r="1010" spans="1:3" s="1" customFormat="1" ht="19.75" customHeight="1" x14ac:dyDescent="0.25">
      <c r="A1010" s="7">
        <f>2015</f>
        <v>2015</v>
      </c>
      <c r="B1010" s="2" t="s">
        <v>60</v>
      </c>
      <c r="C1010" s="3">
        <v>220.34030000000001</v>
      </c>
    </row>
    <row r="1011" spans="1:3" s="1" customFormat="1" ht="19.75" customHeight="1" x14ac:dyDescent="0.25">
      <c r="A1011" s="7">
        <f>2015</f>
        <v>2015</v>
      </c>
      <c r="B1011" s="2" t="s">
        <v>61</v>
      </c>
      <c r="C1011" s="4">
        <v>387.8</v>
      </c>
    </row>
    <row r="1012" spans="1:3" s="1" customFormat="1" ht="19.75" customHeight="1" x14ac:dyDescent="0.25">
      <c r="A1012" s="7">
        <f>2015</f>
        <v>2015</v>
      </c>
      <c r="B1012" s="2" t="s">
        <v>111</v>
      </c>
      <c r="C1012" s="3">
        <v>15.522399999999999</v>
      </c>
    </row>
    <row r="1013" spans="1:3" s="1" customFormat="1" ht="19.75" customHeight="1" x14ac:dyDescent="0.25">
      <c r="A1013" s="7">
        <f>2015</f>
        <v>2015</v>
      </c>
      <c r="B1013" s="2" t="s">
        <v>64</v>
      </c>
      <c r="C1013" s="4">
        <v>0.53400000000000003</v>
      </c>
    </row>
    <row r="1014" spans="1:3" s="1" customFormat="1" ht="19.75" customHeight="1" x14ac:dyDescent="0.25">
      <c r="A1014" s="7">
        <f>2015</f>
        <v>2015</v>
      </c>
      <c r="B1014" s="2" t="s">
        <v>66</v>
      </c>
      <c r="C1014" s="3">
        <v>15.7075</v>
      </c>
    </row>
    <row r="1015" spans="1:3" s="1" customFormat="1" ht="19.75" customHeight="1" x14ac:dyDescent="0.25">
      <c r="A1015" s="7">
        <f>2015</f>
        <v>2015</v>
      </c>
      <c r="B1015" s="2" t="s">
        <v>67</v>
      </c>
      <c r="C1015" s="4">
        <v>39.75</v>
      </c>
    </row>
    <row r="1016" spans="1:3" s="1" customFormat="1" ht="19.75" customHeight="1" x14ac:dyDescent="0.25">
      <c r="A1016" s="7">
        <f>2015</f>
        <v>2015</v>
      </c>
      <c r="B1016" s="2" t="s">
        <v>68</v>
      </c>
      <c r="C1016" s="3">
        <v>30.559799999999999</v>
      </c>
    </row>
    <row r="1017" spans="1:3" s="1" customFormat="1" ht="19.75" customHeight="1" x14ac:dyDescent="0.25">
      <c r="A1017" s="7">
        <f>2015</f>
        <v>2015</v>
      </c>
      <c r="B1017" s="2" t="s">
        <v>69</v>
      </c>
      <c r="C1017" s="4">
        <v>43.469099999999997</v>
      </c>
    </row>
    <row r="1018" spans="1:3" s="1" customFormat="1" ht="19.75" customHeight="1" x14ac:dyDescent="0.25">
      <c r="A1018" s="7">
        <f>2015</f>
        <v>2015</v>
      </c>
      <c r="B1018" s="2" t="s">
        <v>96</v>
      </c>
      <c r="C1018" s="3">
        <v>1.5985</v>
      </c>
    </row>
    <row r="1019" spans="1:3" s="1" customFormat="1" ht="19.75" customHeight="1" x14ac:dyDescent="0.25">
      <c r="A1019" s="7">
        <f>2015</f>
        <v>2015</v>
      </c>
      <c r="B1019" s="2" t="s">
        <v>71</v>
      </c>
      <c r="C1019" s="4">
        <v>2862.8517000000002</v>
      </c>
    </row>
    <row r="1020" spans="1:3" s="1" customFormat="1" ht="19.75" customHeight="1" x14ac:dyDescent="0.25">
      <c r="A1020" s="7">
        <f>2015</f>
        <v>2015</v>
      </c>
      <c r="B1020" s="2" t="s">
        <v>72</v>
      </c>
      <c r="C1020" s="3">
        <v>102.81</v>
      </c>
    </row>
    <row r="1021" spans="1:3" s="1" customFormat="1" ht="19.75" customHeight="1" x14ac:dyDescent="0.25">
      <c r="A1021" s="7">
        <f>2015</f>
        <v>2015</v>
      </c>
      <c r="B1021" s="2" t="s">
        <v>74</v>
      </c>
      <c r="C1021" s="4">
        <v>57.7333</v>
      </c>
    </row>
    <row r="1022" spans="1:3" s="1" customFormat="1" ht="19.75" customHeight="1" x14ac:dyDescent="0.25">
      <c r="A1022" s="7">
        <f>2015</f>
        <v>2015</v>
      </c>
      <c r="B1022" s="2" t="s">
        <v>75</v>
      </c>
      <c r="C1022" s="3">
        <v>19.6935</v>
      </c>
    </row>
    <row r="1023" spans="1:3" s="1" customFormat="1" ht="19.75" customHeight="1" x14ac:dyDescent="0.25">
      <c r="A1023" s="7">
        <f>2015</f>
        <v>2015</v>
      </c>
      <c r="B1023" s="2" t="s">
        <v>108</v>
      </c>
      <c r="C1023" s="4">
        <v>26.2409</v>
      </c>
    </row>
    <row r="1024" spans="1:3" s="1" customFormat="1" ht="19.75" customHeight="1" x14ac:dyDescent="0.25">
      <c r="A1024" s="7">
        <f>2015</f>
        <v>2015</v>
      </c>
      <c r="B1024" s="2" t="s">
        <v>76</v>
      </c>
      <c r="C1024" s="3">
        <v>15.1008</v>
      </c>
    </row>
    <row r="1025" spans="1:3" s="1" customFormat="1" ht="19.75" customHeight="1" x14ac:dyDescent="0.25">
      <c r="A1025" s="7">
        <f>2015</f>
        <v>2015</v>
      </c>
      <c r="B1025" s="2" t="s">
        <v>100</v>
      </c>
      <c r="C1025" s="4">
        <v>180.5909</v>
      </c>
    </row>
    <row r="1026" spans="1:3" s="1" customFormat="1" ht="19.75" customHeight="1" x14ac:dyDescent="0.25">
      <c r="A1026" s="7">
        <f>2014</f>
        <v>2014</v>
      </c>
      <c r="B1026" s="2" t="s">
        <v>113</v>
      </c>
      <c r="C1026" s="3">
        <v>962.97</v>
      </c>
    </row>
    <row r="1027" spans="1:3" s="1" customFormat="1" ht="19.75" customHeight="1" x14ac:dyDescent="0.25">
      <c r="A1027" s="7">
        <f>2014</f>
        <v>2014</v>
      </c>
      <c r="B1027" s="2" t="s">
        <v>114</v>
      </c>
      <c r="C1027" s="4">
        <v>1671.47</v>
      </c>
    </row>
    <row r="1028" spans="1:3" s="1" customFormat="1" ht="19.75" customHeight="1" x14ac:dyDescent="0.25">
      <c r="A1028" s="7">
        <f>2014</f>
        <v>2014</v>
      </c>
      <c r="B1028" s="2" t="s">
        <v>9</v>
      </c>
      <c r="C1028" s="3">
        <v>21218.06</v>
      </c>
    </row>
    <row r="1029" spans="1:3" s="1" customFormat="1" ht="19.75" customHeight="1" x14ac:dyDescent="0.25">
      <c r="A1029" s="7">
        <f>2014</f>
        <v>2014</v>
      </c>
      <c r="B1029" s="2" t="s">
        <v>115</v>
      </c>
      <c r="C1029" s="4">
        <v>840.87</v>
      </c>
    </row>
    <row r="1030" spans="1:3" s="1" customFormat="1" ht="19.75" customHeight="1" x14ac:dyDescent="0.25">
      <c r="A1030" s="7">
        <f>2014</f>
        <v>2014</v>
      </c>
      <c r="B1030" s="2" t="s">
        <v>116</v>
      </c>
      <c r="C1030" s="3">
        <v>1000.71</v>
      </c>
    </row>
    <row r="1031" spans="1:3" s="1" customFormat="1" ht="19.75" customHeight="1" x14ac:dyDescent="0.25">
      <c r="A1031" s="7">
        <f>2014</f>
        <v>2014</v>
      </c>
      <c r="B1031" s="2" t="s">
        <v>117</v>
      </c>
      <c r="C1031" s="4">
        <v>1065.3499999999999</v>
      </c>
    </row>
    <row r="1032" spans="1:3" s="1" customFormat="1" ht="19.75" customHeight="1" x14ac:dyDescent="0.25">
      <c r="A1032" s="7">
        <f>2014</f>
        <v>2014</v>
      </c>
      <c r="B1032" s="2" t="s">
        <v>101</v>
      </c>
      <c r="C1032" s="3">
        <v>2848.41</v>
      </c>
    </row>
    <row r="1033" spans="1:3" s="1" customFormat="1" ht="19.75" customHeight="1" x14ac:dyDescent="0.25">
      <c r="A1033" s="7">
        <f>2014</f>
        <v>2014</v>
      </c>
      <c r="B1033" s="2" t="s">
        <v>102</v>
      </c>
      <c r="C1033" s="4">
        <v>2324.66</v>
      </c>
    </row>
    <row r="1034" spans="1:3" s="1" customFormat="1" ht="19.75" customHeight="1" x14ac:dyDescent="0.25">
      <c r="A1034" s="7">
        <f>2014</f>
        <v>2014</v>
      </c>
      <c r="B1034" s="2" t="s">
        <v>0</v>
      </c>
      <c r="C1034" s="3">
        <v>4749.9399999999996</v>
      </c>
    </row>
    <row r="1035" spans="1:3" s="1" customFormat="1" ht="19.75" customHeight="1" x14ac:dyDescent="0.25">
      <c r="A1035" s="7">
        <f>2014</f>
        <v>2014</v>
      </c>
      <c r="B1035" s="2" t="s">
        <v>1</v>
      </c>
      <c r="C1035" s="4">
        <v>5693.63</v>
      </c>
    </row>
    <row r="1036" spans="1:3" s="1" customFormat="1" ht="19.75" customHeight="1" x14ac:dyDescent="0.25">
      <c r="A1036" s="7">
        <f>2014</f>
        <v>2014</v>
      </c>
      <c r="B1036" s="2" t="s">
        <v>2</v>
      </c>
      <c r="C1036" s="3">
        <v>1620.4</v>
      </c>
    </row>
    <row r="1037" spans="1:3" s="1" customFormat="1" ht="19.75" customHeight="1" x14ac:dyDescent="0.25">
      <c r="A1037" s="7">
        <f>2014</f>
        <v>2014</v>
      </c>
      <c r="B1037" s="2" t="s">
        <v>118</v>
      </c>
      <c r="C1037" s="4">
        <v>6.67</v>
      </c>
    </row>
    <row r="1038" spans="1:3" s="1" customFormat="1" ht="19.75" customHeight="1" x14ac:dyDescent="0.25">
      <c r="A1038" s="7">
        <f>2014</f>
        <v>2014</v>
      </c>
      <c r="B1038" s="2" t="s">
        <v>3</v>
      </c>
      <c r="C1038" s="3">
        <v>4358</v>
      </c>
    </row>
    <row r="1039" spans="1:3" s="1" customFormat="1" ht="19.75" customHeight="1" x14ac:dyDescent="0.25">
      <c r="A1039" s="7">
        <f>2014</f>
        <v>2014</v>
      </c>
      <c r="B1039" s="2" t="s">
        <v>4</v>
      </c>
      <c r="C1039" s="4">
        <v>4501</v>
      </c>
    </row>
    <row r="1040" spans="1:3" s="1" customFormat="1" ht="19.75" customHeight="1" x14ac:dyDescent="0.25">
      <c r="A1040" s="7">
        <f>2014</f>
        <v>2014</v>
      </c>
      <c r="B1040" s="2" t="s">
        <v>103</v>
      </c>
      <c r="C1040" s="3">
        <v>2477.67</v>
      </c>
    </row>
    <row r="1041" spans="1:3" s="1" customFormat="1" ht="19.75" customHeight="1" x14ac:dyDescent="0.25">
      <c r="A1041" s="7">
        <f>2014</f>
        <v>2014</v>
      </c>
      <c r="B1041" s="2" t="s">
        <v>109</v>
      </c>
      <c r="C1041" s="4">
        <v>1222.3699999999999</v>
      </c>
    </row>
    <row r="1042" spans="1:3" s="1" customFormat="1" ht="19.75" customHeight="1" x14ac:dyDescent="0.25">
      <c r="A1042" s="7">
        <f>2014</f>
        <v>2014</v>
      </c>
      <c r="B1042" s="2" t="s">
        <v>5</v>
      </c>
      <c r="C1042" s="3">
        <v>1741.65</v>
      </c>
    </row>
    <row r="1043" spans="1:3" s="1" customFormat="1" ht="19.75" customHeight="1" x14ac:dyDescent="0.25">
      <c r="A1043" s="7">
        <f>2014</f>
        <v>2014</v>
      </c>
      <c r="B1043" s="2" t="s">
        <v>6</v>
      </c>
      <c r="C1043" s="4">
        <v>3395.5</v>
      </c>
    </row>
    <row r="1044" spans="1:3" s="1" customFormat="1" ht="19.75" customHeight="1" x14ac:dyDescent="0.25">
      <c r="A1044" s="7">
        <f>2014</f>
        <v>2014</v>
      </c>
      <c r="B1044" s="2" t="s">
        <v>104</v>
      </c>
      <c r="C1044" s="3">
        <v>3016.08</v>
      </c>
    </row>
    <row r="1045" spans="1:3" s="1" customFormat="1" ht="19.75" customHeight="1" x14ac:dyDescent="0.25">
      <c r="A1045" s="7">
        <f>2014</f>
        <v>2014</v>
      </c>
      <c r="B1045" s="2" t="s">
        <v>7</v>
      </c>
      <c r="C1045" s="4">
        <v>499.92</v>
      </c>
    </row>
    <row r="1046" spans="1:3" s="1" customFormat="1" ht="19.75" customHeight="1" x14ac:dyDescent="0.25">
      <c r="A1046" s="7">
        <f>2014</f>
        <v>2014</v>
      </c>
      <c r="B1046" s="2" t="s">
        <v>8</v>
      </c>
      <c r="C1046" s="3">
        <v>8041.88</v>
      </c>
    </row>
    <row r="1047" spans="1:3" s="1" customFormat="1" ht="19.75" customHeight="1" x14ac:dyDescent="0.25">
      <c r="A1047" s="7">
        <f>2014</f>
        <v>2014</v>
      </c>
      <c r="B1047" s="2" t="s">
        <v>105</v>
      </c>
      <c r="C1047" s="4">
        <v>1851.49</v>
      </c>
    </row>
    <row r="1048" spans="1:3" s="1" customFormat="1" ht="19.75" customHeight="1" x14ac:dyDescent="0.25">
      <c r="A1048" s="7">
        <f>2014</f>
        <v>2014</v>
      </c>
      <c r="B1048" s="2" t="s">
        <v>10</v>
      </c>
      <c r="C1048" s="3">
        <v>3429.85</v>
      </c>
    </row>
    <row r="1049" spans="1:3" s="1" customFormat="1" ht="19.75" customHeight="1" x14ac:dyDescent="0.25">
      <c r="A1049" s="7">
        <f>2014</f>
        <v>2014</v>
      </c>
      <c r="B1049" s="2" t="s">
        <v>11</v>
      </c>
      <c r="C1049" s="4">
        <v>3521.9</v>
      </c>
    </row>
    <row r="1050" spans="1:3" s="1" customFormat="1" ht="19.75" customHeight="1" x14ac:dyDescent="0.25">
      <c r="A1050" s="7">
        <f>2014</f>
        <v>2014</v>
      </c>
      <c r="B1050" s="2" t="s">
        <v>106</v>
      </c>
      <c r="C1050" s="3">
        <v>3275.19</v>
      </c>
    </row>
    <row r="1051" spans="1:3" s="1" customFormat="1" ht="19.75" customHeight="1" x14ac:dyDescent="0.25">
      <c r="A1051" s="7">
        <f>2014</f>
        <v>2014</v>
      </c>
      <c r="B1051" s="2" t="s">
        <v>110</v>
      </c>
      <c r="C1051" s="4">
        <v>687.82</v>
      </c>
    </row>
    <row r="1052" spans="1:3" s="1" customFormat="1" ht="19.75" customHeight="1" x14ac:dyDescent="0.25">
      <c r="A1052" s="7">
        <f>2014</f>
        <v>2014</v>
      </c>
      <c r="B1052" s="2" t="s">
        <v>21</v>
      </c>
      <c r="C1052" s="3">
        <v>4559.99</v>
      </c>
    </row>
    <row r="1053" spans="1:3" s="1" customFormat="1" ht="19.75" customHeight="1" x14ac:dyDescent="0.25">
      <c r="A1053" s="7">
        <f>2014</f>
        <v>2014</v>
      </c>
      <c r="B1053" s="2" t="s">
        <v>12</v>
      </c>
      <c r="C1053" s="4">
        <v>5238.42</v>
      </c>
    </row>
    <row r="1054" spans="1:3" s="1" customFormat="1" ht="19.75" customHeight="1" x14ac:dyDescent="0.25">
      <c r="A1054" s="7">
        <f>2014</f>
        <v>2014</v>
      </c>
      <c r="B1054" s="2" t="s">
        <v>14</v>
      </c>
      <c r="C1054" s="3">
        <v>233.9</v>
      </c>
    </row>
    <row r="1055" spans="1:3" s="1" customFormat="1" ht="19.75" customHeight="1" x14ac:dyDescent="0.25">
      <c r="A1055" s="7">
        <f>2014</f>
        <v>2014</v>
      </c>
      <c r="B1055" s="2" t="s">
        <v>15</v>
      </c>
      <c r="C1055" s="4">
        <v>68.459999999999994</v>
      </c>
    </row>
    <row r="1056" spans="1:3" s="1" customFormat="1" ht="19.75" customHeight="1" x14ac:dyDescent="0.25">
      <c r="A1056" s="7">
        <f>2014</f>
        <v>2014</v>
      </c>
      <c r="B1056" s="2" t="s">
        <v>16</v>
      </c>
      <c r="C1056" s="3">
        <v>36.604399999999998</v>
      </c>
    </row>
    <row r="1057" spans="1:3" s="1" customFormat="1" ht="19.75" customHeight="1" x14ac:dyDescent="0.25">
      <c r="A1057" s="7">
        <f>2014</f>
        <v>2014</v>
      </c>
      <c r="B1057" s="2" t="s">
        <v>18</v>
      </c>
      <c r="C1057" s="4">
        <v>641.5</v>
      </c>
    </row>
    <row r="1058" spans="1:3" s="1" customFormat="1" ht="19.75" customHeight="1" x14ac:dyDescent="0.25">
      <c r="A1058" s="7">
        <f>2014</f>
        <v>2014</v>
      </c>
      <c r="B1058" s="2" t="s">
        <v>19</v>
      </c>
      <c r="C1058" s="3">
        <v>5881.7</v>
      </c>
    </row>
    <row r="1059" spans="1:3" s="1" customFormat="1" ht="19.75" customHeight="1" x14ac:dyDescent="0.25">
      <c r="A1059" s="7">
        <f>2014</f>
        <v>2014</v>
      </c>
      <c r="B1059" s="2" t="s">
        <v>20</v>
      </c>
      <c r="C1059" s="4">
        <v>6784.1</v>
      </c>
    </row>
    <row r="1060" spans="1:3" s="1" customFormat="1" ht="19.75" customHeight="1" x14ac:dyDescent="0.25">
      <c r="A1060" s="7">
        <f>2014</f>
        <v>2014</v>
      </c>
      <c r="B1060" s="2" t="s">
        <v>23</v>
      </c>
      <c r="C1060" s="3">
        <v>1187.94</v>
      </c>
    </row>
    <row r="1061" spans="1:3" s="1" customFormat="1" ht="19.75" customHeight="1" x14ac:dyDescent="0.25">
      <c r="A1061" s="7">
        <f>2014</f>
        <v>2014</v>
      </c>
      <c r="B1061" s="2" t="s">
        <v>121</v>
      </c>
      <c r="C1061" s="4">
        <v>469.6891</v>
      </c>
    </row>
    <row r="1062" spans="1:3" s="1" customFormat="1" ht="19.75" customHeight="1" x14ac:dyDescent="0.25">
      <c r="A1062" s="7">
        <f>2014</f>
        <v>2014</v>
      </c>
      <c r="B1062" s="2" t="s">
        <v>24</v>
      </c>
      <c r="C1062" s="3">
        <v>717.29</v>
      </c>
    </row>
    <row r="1063" spans="1:3" s="1" customFormat="1" ht="19.75" customHeight="1" x14ac:dyDescent="0.25">
      <c r="A1063" s="7">
        <f>2014</f>
        <v>2014</v>
      </c>
      <c r="B1063" s="2" t="s">
        <v>25</v>
      </c>
      <c r="C1063" s="4">
        <v>376.01</v>
      </c>
    </row>
    <row r="1064" spans="1:3" s="1" customFormat="1" ht="19.75" customHeight="1" x14ac:dyDescent="0.25">
      <c r="A1064" s="7">
        <f>2014</f>
        <v>2014</v>
      </c>
      <c r="B1064" s="2" t="s">
        <v>26</v>
      </c>
      <c r="C1064" s="3">
        <v>408.2</v>
      </c>
    </row>
    <row r="1065" spans="1:3" s="1" customFormat="1" ht="19.75" customHeight="1" x14ac:dyDescent="0.25">
      <c r="A1065" s="7">
        <f>2014</f>
        <v>2014</v>
      </c>
      <c r="B1065" s="2" t="s">
        <v>27</v>
      </c>
      <c r="C1065" s="4">
        <v>1074.6300000000001</v>
      </c>
    </row>
    <row r="1066" spans="1:3" s="1" customFormat="1" ht="19.75" customHeight="1" x14ac:dyDescent="0.25">
      <c r="A1066" s="7">
        <f>2014</f>
        <v>2014</v>
      </c>
      <c r="B1066" s="2" t="s">
        <v>107</v>
      </c>
      <c r="C1066" s="3">
        <v>249.33</v>
      </c>
    </row>
    <row r="1067" spans="1:3" s="1" customFormat="1" ht="19.75" customHeight="1" x14ac:dyDescent="0.25">
      <c r="A1067" s="7">
        <f>2014</f>
        <v>2014</v>
      </c>
      <c r="B1067" s="2" t="s">
        <v>28</v>
      </c>
      <c r="C1067" s="4">
        <v>31.43</v>
      </c>
    </row>
    <row r="1068" spans="1:3" s="1" customFormat="1" ht="19.75" customHeight="1" x14ac:dyDescent="0.25">
      <c r="A1068" s="7">
        <f>2014</f>
        <v>2014</v>
      </c>
      <c r="B1068" s="2" t="s">
        <v>29</v>
      </c>
      <c r="C1068" s="3">
        <v>86.03</v>
      </c>
    </row>
    <row r="1069" spans="1:3" s="1" customFormat="1" ht="19.75" customHeight="1" x14ac:dyDescent="0.25">
      <c r="A1069" s="7">
        <f>2014</f>
        <v>2014</v>
      </c>
      <c r="B1069" s="2" t="s">
        <v>30</v>
      </c>
      <c r="C1069" s="4">
        <v>376.84</v>
      </c>
    </row>
    <row r="1070" spans="1:3" s="1" customFormat="1" ht="19.75" customHeight="1" x14ac:dyDescent="0.25">
      <c r="A1070" s="7">
        <f>2014</f>
        <v>2014</v>
      </c>
      <c r="B1070" s="2" t="s">
        <v>31</v>
      </c>
      <c r="C1070" s="3">
        <v>312.27</v>
      </c>
    </row>
    <row r="1071" spans="1:3" s="1" customFormat="1" ht="19.75" customHeight="1" x14ac:dyDescent="0.25">
      <c r="A1071" s="7">
        <f>2014</f>
        <v>2014</v>
      </c>
      <c r="B1071" s="2" t="s">
        <v>32</v>
      </c>
      <c r="C1071" s="4">
        <v>1070.1856</v>
      </c>
    </row>
    <row r="1072" spans="1:3" s="1" customFormat="1" ht="19.75" customHeight="1" x14ac:dyDescent="0.25">
      <c r="A1072" s="7">
        <f>2014</f>
        <v>2014</v>
      </c>
      <c r="B1072" s="2" t="s">
        <v>17</v>
      </c>
      <c r="C1072" s="3">
        <v>257.97000000000003</v>
      </c>
    </row>
    <row r="1073" spans="1:3" s="1" customFormat="1" ht="19.75" customHeight="1" x14ac:dyDescent="0.25">
      <c r="A1073" s="7">
        <f>2014</f>
        <v>2014</v>
      </c>
      <c r="B1073" s="2" t="s">
        <v>93</v>
      </c>
      <c r="C1073" s="4">
        <v>4.7397</v>
      </c>
    </row>
    <row r="1074" spans="1:3" s="1" customFormat="1" ht="19.75" customHeight="1" x14ac:dyDescent="0.25">
      <c r="A1074" s="7">
        <f>2014</f>
        <v>2014</v>
      </c>
      <c r="B1074" s="2" t="s">
        <v>98</v>
      </c>
      <c r="C1074" s="3">
        <v>24.083600000000001</v>
      </c>
    </row>
    <row r="1075" spans="1:3" s="1" customFormat="1" ht="19.75" customHeight="1" x14ac:dyDescent="0.25">
      <c r="A1075" s="7">
        <f>2014</f>
        <v>2014</v>
      </c>
      <c r="B1075" s="2" t="s">
        <v>34</v>
      </c>
      <c r="C1075" s="4">
        <v>85.610500000000002</v>
      </c>
    </row>
    <row r="1076" spans="1:3" s="1" customFormat="1" ht="19.75" customHeight="1" x14ac:dyDescent="0.25">
      <c r="A1076" s="7">
        <f>2014</f>
        <v>2014</v>
      </c>
      <c r="B1076" s="2" t="s">
        <v>35</v>
      </c>
      <c r="C1076" s="3">
        <v>29.018899999999999</v>
      </c>
    </row>
    <row r="1077" spans="1:3" s="1" customFormat="1" ht="19.75" customHeight="1" x14ac:dyDescent="0.25">
      <c r="A1077" s="7">
        <f>2014</f>
        <v>2014</v>
      </c>
      <c r="B1077" s="2" t="s">
        <v>36</v>
      </c>
      <c r="C1077" s="4">
        <v>510.24340000000001</v>
      </c>
    </row>
    <row r="1078" spans="1:3" s="1" customFormat="1" ht="19.75" customHeight="1" x14ac:dyDescent="0.25">
      <c r="A1078" s="7">
        <f>2014</f>
        <v>2014</v>
      </c>
      <c r="B1078" s="2" t="s">
        <v>37</v>
      </c>
      <c r="C1078" s="3">
        <v>22</v>
      </c>
    </row>
    <row r="1079" spans="1:3" s="1" customFormat="1" ht="19.75" customHeight="1" x14ac:dyDescent="0.25">
      <c r="A1079" s="7">
        <f>2014</f>
        <v>2014</v>
      </c>
      <c r="B1079" s="2" t="s">
        <v>38</v>
      </c>
      <c r="C1079" s="4">
        <v>9.39</v>
      </c>
    </row>
    <row r="1080" spans="1:3" s="1" customFormat="1" ht="19.75" customHeight="1" x14ac:dyDescent="0.25">
      <c r="A1080" s="7">
        <f>2014</f>
        <v>2014</v>
      </c>
      <c r="B1080" s="2" t="s">
        <v>40</v>
      </c>
      <c r="C1080" s="3">
        <v>267.86149999999998</v>
      </c>
    </row>
    <row r="1081" spans="1:3" s="1" customFormat="1" ht="19.75" customHeight="1" x14ac:dyDescent="0.25">
      <c r="A1081" s="7">
        <f>2014</f>
        <v>2014</v>
      </c>
      <c r="B1081" s="2" t="s">
        <v>41</v>
      </c>
      <c r="C1081" s="4">
        <v>442.6343</v>
      </c>
    </row>
    <row r="1082" spans="1:3" s="1" customFormat="1" ht="19.75" customHeight="1" x14ac:dyDescent="0.25">
      <c r="A1082" s="7">
        <f>2014</f>
        <v>2014</v>
      </c>
      <c r="B1082" s="2" t="s">
        <v>42</v>
      </c>
      <c r="C1082" s="3">
        <v>182.56</v>
      </c>
    </row>
    <row r="1083" spans="1:3" s="1" customFormat="1" ht="19.75" customHeight="1" x14ac:dyDescent="0.25">
      <c r="A1083" s="7">
        <f>2014</f>
        <v>2014</v>
      </c>
      <c r="B1083" s="2" t="s">
        <v>43</v>
      </c>
      <c r="C1083" s="4">
        <v>2711.85</v>
      </c>
    </row>
    <row r="1084" spans="1:3" s="1" customFormat="1" ht="19.75" customHeight="1" x14ac:dyDescent="0.25">
      <c r="A1084" s="7">
        <f>2014</f>
        <v>2014</v>
      </c>
      <c r="B1084" s="2" t="s">
        <v>119</v>
      </c>
      <c r="C1084" s="3">
        <v>0.86639999999999995</v>
      </c>
    </row>
    <row r="1085" spans="1:3" s="1" customFormat="1" ht="19.75" customHeight="1" x14ac:dyDescent="0.25">
      <c r="A1085" s="7">
        <f>2014</f>
        <v>2014</v>
      </c>
      <c r="B1085" s="2" t="s">
        <v>44</v>
      </c>
      <c r="C1085" s="4">
        <v>27.301100000000002</v>
      </c>
    </row>
    <row r="1086" spans="1:3" s="1" customFormat="1" ht="19.75" customHeight="1" x14ac:dyDescent="0.25">
      <c r="A1086" s="7">
        <f>2014</f>
        <v>2014</v>
      </c>
      <c r="B1086" s="2" t="s">
        <v>45</v>
      </c>
      <c r="C1086" s="3">
        <v>78.06</v>
      </c>
    </row>
    <row r="1087" spans="1:3" s="1" customFormat="1" ht="19.75" customHeight="1" x14ac:dyDescent="0.25">
      <c r="A1087" s="7">
        <f>2014</f>
        <v>2014</v>
      </c>
      <c r="B1087" s="2" t="s">
        <v>94</v>
      </c>
      <c r="C1087" s="4">
        <v>62.87</v>
      </c>
    </row>
    <row r="1088" spans="1:3" s="1" customFormat="1" ht="19.75" customHeight="1" x14ac:dyDescent="0.25">
      <c r="A1088" s="7">
        <f>2014</f>
        <v>2014</v>
      </c>
      <c r="B1088" s="2" t="s">
        <v>46</v>
      </c>
      <c r="C1088" s="3">
        <v>24.97</v>
      </c>
    </row>
    <row r="1089" spans="1:3" s="1" customFormat="1" ht="19.75" customHeight="1" x14ac:dyDescent="0.25">
      <c r="A1089" s="7">
        <f>2014</f>
        <v>2014</v>
      </c>
      <c r="B1089" s="2" t="s">
        <v>47</v>
      </c>
      <c r="C1089" s="4">
        <v>534.35090000000002</v>
      </c>
    </row>
    <row r="1090" spans="1:3" s="1" customFormat="1" ht="19.75" customHeight="1" x14ac:dyDescent="0.25">
      <c r="A1090" s="7">
        <f>2014</f>
        <v>2014</v>
      </c>
      <c r="B1090" s="2" t="s">
        <v>48</v>
      </c>
      <c r="C1090" s="3">
        <v>714.41790000000003</v>
      </c>
    </row>
    <row r="1091" spans="1:3" s="1" customFormat="1" ht="19.75" customHeight="1" x14ac:dyDescent="0.25">
      <c r="A1091" s="7">
        <f>2014</f>
        <v>2014</v>
      </c>
      <c r="B1091" s="2" t="s">
        <v>52</v>
      </c>
      <c r="C1091" s="4">
        <v>12.768700000000001</v>
      </c>
    </row>
    <row r="1092" spans="1:3" s="1" customFormat="1" ht="19.75" customHeight="1" x14ac:dyDescent="0.25">
      <c r="A1092" s="7">
        <f>2014</f>
        <v>2014</v>
      </c>
      <c r="B1092" s="2" t="s">
        <v>99</v>
      </c>
      <c r="C1092" s="3">
        <v>1243.6638</v>
      </c>
    </row>
    <row r="1093" spans="1:3" s="1" customFormat="1" ht="19.75" customHeight="1" x14ac:dyDescent="0.25">
      <c r="A1093" s="7">
        <f>2014</f>
        <v>2014</v>
      </c>
      <c r="B1093" s="2" t="s">
        <v>122</v>
      </c>
      <c r="C1093" s="4">
        <v>-0.98260000000000003</v>
      </c>
    </row>
    <row r="1094" spans="1:3" s="1" customFormat="1" ht="19.75" customHeight="1" x14ac:dyDescent="0.25">
      <c r="A1094" s="7">
        <f>2014</f>
        <v>2014</v>
      </c>
      <c r="B1094" s="2" t="s">
        <v>53</v>
      </c>
      <c r="C1094" s="3">
        <v>25.2744</v>
      </c>
    </row>
    <row r="1095" spans="1:3" s="1" customFormat="1" ht="19.75" customHeight="1" x14ac:dyDescent="0.25">
      <c r="A1095" s="7">
        <f>2014</f>
        <v>2014</v>
      </c>
      <c r="B1095" s="2" t="s">
        <v>55</v>
      </c>
      <c r="C1095" s="4">
        <v>607.3827</v>
      </c>
    </row>
    <row r="1096" spans="1:3" s="1" customFormat="1" ht="19.75" customHeight="1" x14ac:dyDescent="0.25">
      <c r="A1096" s="7">
        <f>2014</f>
        <v>2014</v>
      </c>
      <c r="B1096" s="2" t="s">
        <v>56</v>
      </c>
      <c r="C1096" s="3">
        <v>4.5599999999999996</v>
      </c>
    </row>
    <row r="1097" spans="1:3" s="1" customFormat="1" ht="19.75" customHeight="1" x14ac:dyDescent="0.25">
      <c r="A1097" s="7">
        <f>2014</f>
        <v>2014</v>
      </c>
      <c r="B1097" s="2" t="s">
        <v>123</v>
      </c>
      <c r="C1097" s="4">
        <v>18.39</v>
      </c>
    </row>
    <row r="1098" spans="1:3" s="1" customFormat="1" ht="19.75" customHeight="1" x14ac:dyDescent="0.25">
      <c r="A1098" s="7">
        <f>2014</f>
        <v>2014</v>
      </c>
      <c r="B1098" s="2" t="s">
        <v>95</v>
      </c>
      <c r="C1098" s="3">
        <v>3.6503000000000001</v>
      </c>
    </row>
    <row r="1099" spans="1:3" s="1" customFormat="1" ht="19.75" customHeight="1" x14ac:dyDescent="0.25">
      <c r="A1099" s="7">
        <f>2014</f>
        <v>2014</v>
      </c>
      <c r="B1099" s="2" t="s">
        <v>59</v>
      </c>
      <c r="C1099" s="4">
        <v>11.700699999999999</v>
      </c>
    </row>
    <row r="1100" spans="1:3" s="1" customFormat="1" ht="19.75" customHeight="1" x14ac:dyDescent="0.25">
      <c r="A1100" s="7">
        <f>2014</f>
        <v>2014</v>
      </c>
      <c r="B1100" s="2" t="s">
        <v>60</v>
      </c>
      <c r="C1100" s="3">
        <v>173.36529999999999</v>
      </c>
    </row>
    <row r="1101" spans="1:3" s="1" customFormat="1" ht="19.75" customHeight="1" x14ac:dyDescent="0.25">
      <c r="A1101" s="7">
        <f>2014</f>
        <v>2014</v>
      </c>
      <c r="B1101" s="2" t="s">
        <v>61</v>
      </c>
      <c r="C1101" s="4">
        <v>409.12</v>
      </c>
    </row>
    <row r="1102" spans="1:3" s="1" customFormat="1" ht="19.75" customHeight="1" x14ac:dyDescent="0.25">
      <c r="A1102" s="7">
        <f>2014</f>
        <v>2014</v>
      </c>
      <c r="B1102" s="2" t="s">
        <v>111</v>
      </c>
      <c r="C1102" s="3">
        <v>14.3957</v>
      </c>
    </row>
    <row r="1103" spans="1:3" s="1" customFormat="1" ht="19.75" customHeight="1" x14ac:dyDescent="0.25">
      <c r="A1103" s="7">
        <f>2014</f>
        <v>2014</v>
      </c>
      <c r="B1103" s="2" t="s">
        <v>64</v>
      </c>
      <c r="C1103" s="4">
        <v>-0.54400000000000004</v>
      </c>
    </row>
    <row r="1104" spans="1:3" s="1" customFormat="1" ht="19.75" customHeight="1" x14ac:dyDescent="0.25">
      <c r="A1104" s="7">
        <f>2014</f>
        <v>2014</v>
      </c>
      <c r="B1104" s="2" t="s">
        <v>66</v>
      </c>
      <c r="C1104" s="3">
        <v>4.2596999999999996</v>
      </c>
    </row>
    <row r="1105" spans="1:3" s="1" customFormat="1" ht="19.75" customHeight="1" x14ac:dyDescent="0.25">
      <c r="A1105" s="7">
        <f>2014</f>
        <v>2014</v>
      </c>
      <c r="B1105" s="2" t="s">
        <v>67</v>
      </c>
      <c r="C1105" s="4">
        <v>96.2</v>
      </c>
    </row>
    <row r="1106" spans="1:3" s="1" customFormat="1" ht="19.75" customHeight="1" x14ac:dyDescent="0.25">
      <c r="A1106" s="7">
        <f>2014</f>
        <v>2014</v>
      </c>
      <c r="B1106" s="2" t="s">
        <v>68</v>
      </c>
      <c r="C1106" s="3">
        <v>50.920699999999997</v>
      </c>
    </row>
    <row r="1107" spans="1:3" s="1" customFormat="1" ht="19.75" customHeight="1" x14ac:dyDescent="0.25">
      <c r="A1107" s="7">
        <f>2014</f>
        <v>2014</v>
      </c>
      <c r="B1107" s="2" t="s">
        <v>69</v>
      </c>
      <c r="C1107" s="4">
        <v>32.129100000000001</v>
      </c>
    </row>
    <row r="1108" spans="1:3" s="1" customFormat="1" ht="19.75" customHeight="1" x14ac:dyDescent="0.25">
      <c r="A1108" s="7">
        <f>2014</f>
        <v>2014</v>
      </c>
      <c r="B1108" s="2" t="s">
        <v>96</v>
      </c>
      <c r="C1108" s="3">
        <v>2.2118000000000002</v>
      </c>
    </row>
    <row r="1109" spans="1:3" s="1" customFormat="1" ht="19.75" customHeight="1" x14ac:dyDescent="0.25">
      <c r="A1109" s="7">
        <f>2014</f>
        <v>2014</v>
      </c>
      <c r="B1109" s="2" t="s">
        <v>71</v>
      </c>
      <c r="C1109" s="4">
        <v>3742.7882</v>
      </c>
    </row>
    <row r="1110" spans="1:3" s="1" customFormat="1" ht="19.75" customHeight="1" x14ac:dyDescent="0.25">
      <c r="A1110" s="7">
        <f>2014</f>
        <v>2014</v>
      </c>
      <c r="B1110" s="2" t="s">
        <v>72</v>
      </c>
      <c r="C1110" s="3">
        <v>11.1</v>
      </c>
    </row>
    <row r="1111" spans="1:3" s="1" customFormat="1" ht="19.75" customHeight="1" x14ac:dyDescent="0.25">
      <c r="A1111" s="7">
        <f>2014</f>
        <v>2014</v>
      </c>
      <c r="B1111" s="2" t="s">
        <v>74</v>
      </c>
      <c r="C1111" s="4">
        <v>33.300699999999999</v>
      </c>
    </row>
    <row r="1112" spans="1:3" s="1" customFormat="1" ht="19.75" customHeight="1" x14ac:dyDescent="0.25">
      <c r="A1112" s="7">
        <f>2014</f>
        <v>2014</v>
      </c>
      <c r="B1112" s="2" t="s">
        <v>75</v>
      </c>
      <c r="C1112" s="3">
        <v>1.7458</v>
      </c>
    </row>
    <row r="1113" spans="1:3" s="1" customFormat="1" ht="19.75" customHeight="1" x14ac:dyDescent="0.25">
      <c r="A1113" s="7">
        <f>2014</f>
        <v>2014</v>
      </c>
      <c r="B1113" s="2" t="s">
        <v>108</v>
      </c>
      <c r="C1113" s="4">
        <v>26.931899999999999</v>
      </c>
    </row>
    <row r="1114" spans="1:3" s="1" customFormat="1" ht="19.75" customHeight="1" x14ac:dyDescent="0.25">
      <c r="A1114" s="7">
        <f>2014</f>
        <v>2014</v>
      </c>
      <c r="B1114" s="2" t="s">
        <v>76</v>
      </c>
      <c r="C1114" s="3">
        <v>10.678900000000001</v>
      </c>
    </row>
    <row r="1115" spans="1:3" s="1" customFormat="1" ht="19.75" customHeight="1" x14ac:dyDescent="0.25">
      <c r="A1115" s="7">
        <f>2014</f>
        <v>2014</v>
      </c>
      <c r="B1115" s="2" t="s">
        <v>100</v>
      </c>
      <c r="C1115" s="4">
        <v>326.44659999999999</v>
      </c>
    </row>
    <row r="1116" spans="1:3" s="1" customFormat="1" ht="19.75" customHeight="1" x14ac:dyDescent="0.25">
      <c r="A1116" s="7">
        <f>2013</f>
        <v>2013</v>
      </c>
      <c r="B1116" s="2" t="s">
        <v>113</v>
      </c>
      <c r="C1116" s="3">
        <v>982.64</v>
      </c>
    </row>
    <row r="1117" spans="1:3" s="1" customFormat="1" ht="19.75" customHeight="1" x14ac:dyDescent="0.25">
      <c r="A1117" s="7">
        <f>2013</f>
        <v>2013</v>
      </c>
      <c r="B1117" s="2" t="s">
        <v>114</v>
      </c>
      <c r="C1117" s="4">
        <v>1538.22</v>
      </c>
    </row>
    <row r="1118" spans="1:3" s="1" customFormat="1" ht="19.75" customHeight="1" x14ac:dyDescent="0.25">
      <c r="A1118" s="7">
        <f>2013</f>
        <v>2013</v>
      </c>
      <c r="B1118" s="2" t="s">
        <v>9</v>
      </c>
      <c r="C1118" s="3">
        <v>16976.740000000002</v>
      </c>
    </row>
    <row r="1119" spans="1:3" s="1" customFormat="1" ht="19.75" customHeight="1" x14ac:dyDescent="0.25">
      <c r="A1119" s="7">
        <f>2013</f>
        <v>2013</v>
      </c>
      <c r="B1119" s="2" t="s">
        <v>115</v>
      </c>
      <c r="C1119" s="4">
        <v>914.93</v>
      </c>
    </row>
    <row r="1120" spans="1:3" s="1" customFormat="1" ht="19.75" customHeight="1" x14ac:dyDescent="0.25">
      <c r="A1120" s="7">
        <f>2013</f>
        <v>2013</v>
      </c>
      <c r="B1120" s="2" t="s">
        <v>116</v>
      </c>
      <c r="C1120" s="3">
        <v>952.58</v>
      </c>
    </row>
    <row r="1121" spans="1:3" s="1" customFormat="1" ht="19.75" customHeight="1" x14ac:dyDescent="0.25">
      <c r="A1121" s="7">
        <f>2013</f>
        <v>2013</v>
      </c>
      <c r="B1121" s="2" t="s">
        <v>117</v>
      </c>
      <c r="C1121" s="4">
        <v>735.97</v>
      </c>
    </row>
    <row r="1122" spans="1:3" s="1" customFormat="1" ht="19.75" customHeight="1" x14ac:dyDescent="0.25">
      <c r="A1122" s="7">
        <f>2013</f>
        <v>2013</v>
      </c>
      <c r="B1122" s="2" t="s">
        <v>101</v>
      </c>
      <c r="C1122" s="3">
        <v>2200.0100000000002</v>
      </c>
    </row>
    <row r="1123" spans="1:3" s="1" customFormat="1" ht="19.75" customHeight="1" x14ac:dyDescent="0.25">
      <c r="A1123" s="7">
        <f>2013</f>
        <v>2013</v>
      </c>
      <c r="B1123" s="2" t="s">
        <v>102</v>
      </c>
      <c r="C1123" s="4">
        <v>1478.1</v>
      </c>
    </row>
    <row r="1124" spans="1:3" s="1" customFormat="1" ht="19.75" customHeight="1" x14ac:dyDescent="0.25">
      <c r="A1124" s="7">
        <f>2013</f>
        <v>2013</v>
      </c>
      <c r="B1124" s="2" t="s">
        <v>0</v>
      </c>
      <c r="C1124" s="3">
        <v>4518.43</v>
      </c>
    </row>
    <row r="1125" spans="1:3" s="1" customFormat="1" ht="19.75" customHeight="1" x14ac:dyDescent="0.25">
      <c r="A1125" s="7">
        <f>2013</f>
        <v>2013</v>
      </c>
      <c r="B1125" s="2" t="s">
        <v>1</v>
      </c>
      <c r="C1125" s="4">
        <v>4709.16</v>
      </c>
    </row>
    <row r="1126" spans="1:3" s="1" customFormat="1" ht="19.75" customHeight="1" x14ac:dyDescent="0.25">
      <c r="A1126" s="7">
        <f>2013</f>
        <v>2013</v>
      </c>
      <c r="B1126" s="2" t="s">
        <v>2</v>
      </c>
      <c r="C1126" s="3">
        <v>1389.19</v>
      </c>
    </row>
    <row r="1127" spans="1:3" s="1" customFormat="1" ht="19.75" customHeight="1" x14ac:dyDescent="0.25">
      <c r="A1127" s="7">
        <f>2013</f>
        <v>2013</v>
      </c>
      <c r="B1127" s="2" t="s">
        <v>3</v>
      </c>
      <c r="C1127" s="4">
        <v>3017.91</v>
      </c>
    </row>
    <row r="1128" spans="1:3" s="1" customFormat="1" ht="19.75" customHeight="1" x14ac:dyDescent="0.25">
      <c r="A1128" s="7">
        <f>2013</f>
        <v>2013</v>
      </c>
      <c r="B1128" s="2" t="s">
        <v>4</v>
      </c>
      <c r="C1128" s="3">
        <v>2158</v>
      </c>
    </row>
    <row r="1129" spans="1:3" s="1" customFormat="1" ht="19.75" customHeight="1" x14ac:dyDescent="0.25">
      <c r="A1129" s="7">
        <f>2013</f>
        <v>2013</v>
      </c>
      <c r="B1129" s="2" t="s">
        <v>103</v>
      </c>
      <c r="C1129" s="4">
        <v>1602.33</v>
      </c>
    </row>
    <row r="1130" spans="1:3" s="1" customFormat="1" ht="19.75" customHeight="1" x14ac:dyDescent="0.25">
      <c r="A1130" s="7">
        <f>2013</f>
        <v>2013</v>
      </c>
      <c r="B1130" s="2" t="s">
        <v>109</v>
      </c>
      <c r="C1130" s="3">
        <v>928.48</v>
      </c>
    </row>
    <row r="1131" spans="1:3" s="1" customFormat="1" ht="19.75" customHeight="1" x14ac:dyDescent="0.25">
      <c r="A1131" s="7">
        <f>2013</f>
        <v>2013</v>
      </c>
      <c r="B1131" s="2" t="s">
        <v>5</v>
      </c>
      <c r="C1131" s="4">
        <v>1480.21</v>
      </c>
    </row>
    <row r="1132" spans="1:3" s="1" customFormat="1" ht="19.75" customHeight="1" x14ac:dyDescent="0.25">
      <c r="A1132" s="7">
        <f>2013</f>
        <v>2013</v>
      </c>
      <c r="B1132" s="2" t="s">
        <v>6</v>
      </c>
      <c r="C1132" s="3">
        <v>3249.78</v>
      </c>
    </row>
    <row r="1133" spans="1:3" s="1" customFormat="1" ht="19.75" customHeight="1" x14ac:dyDescent="0.25">
      <c r="A1133" s="7">
        <f>2013</f>
        <v>2013</v>
      </c>
      <c r="B1133" s="2" t="s">
        <v>104</v>
      </c>
      <c r="C1133" s="4">
        <v>2362.7399999999998</v>
      </c>
    </row>
    <row r="1134" spans="1:3" s="1" customFormat="1" ht="19.75" customHeight="1" x14ac:dyDescent="0.25">
      <c r="A1134" s="7">
        <f>2013</f>
        <v>2013</v>
      </c>
      <c r="B1134" s="2" t="s">
        <v>7</v>
      </c>
      <c r="C1134" s="3">
        <v>599.63</v>
      </c>
    </row>
    <row r="1135" spans="1:3" s="1" customFormat="1" ht="19.75" customHeight="1" x14ac:dyDescent="0.25">
      <c r="A1135" s="7">
        <f>2013</f>
        <v>2013</v>
      </c>
      <c r="B1135" s="2" t="s">
        <v>8</v>
      </c>
      <c r="C1135" s="4">
        <v>6159.7</v>
      </c>
    </row>
    <row r="1136" spans="1:3" s="1" customFormat="1" ht="19.75" customHeight="1" x14ac:dyDescent="0.25">
      <c r="A1136" s="7">
        <f>2013</f>
        <v>2013</v>
      </c>
      <c r="B1136" s="2" t="s">
        <v>105</v>
      </c>
      <c r="C1136" s="3">
        <v>1445.16</v>
      </c>
    </row>
    <row r="1137" spans="1:3" s="1" customFormat="1" ht="19.75" customHeight="1" x14ac:dyDescent="0.25">
      <c r="A1137" s="7">
        <f>2013</f>
        <v>2013</v>
      </c>
      <c r="B1137" s="2" t="s">
        <v>10</v>
      </c>
      <c r="C1137" s="4">
        <v>2738.89</v>
      </c>
    </row>
    <row r="1138" spans="1:3" s="1" customFormat="1" ht="19.75" customHeight="1" x14ac:dyDescent="0.25">
      <c r="A1138" s="7">
        <f>2013</f>
        <v>2013</v>
      </c>
      <c r="B1138" s="2" t="s">
        <v>11</v>
      </c>
      <c r="C1138" s="3">
        <v>3424.77</v>
      </c>
    </row>
    <row r="1139" spans="1:3" s="1" customFormat="1" ht="19.75" customHeight="1" x14ac:dyDescent="0.25">
      <c r="A1139" s="7">
        <f>2013</f>
        <v>2013</v>
      </c>
      <c r="B1139" s="2" t="s">
        <v>106</v>
      </c>
      <c r="C1139" s="4">
        <v>1658</v>
      </c>
    </row>
    <row r="1140" spans="1:3" s="1" customFormat="1" ht="19.75" customHeight="1" x14ac:dyDescent="0.25">
      <c r="A1140" s="7">
        <f>2013</f>
        <v>2013</v>
      </c>
      <c r="B1140" s="2" t="s">
        <v>110</v>
      </c>
      <c r="C1140" s="3">
        <v>536.41999999999996</v>
      </c>
    </row>
    <row r="1141" spans="1:3" s="1" customFormat="1" ht="19.75" customHeight="1" x14ac:dyDescent="0.25">
      <c r="A1141" s="7">
        <f>2013</f>
        <v>2013</v>
      </c>
      <c r="B1141" s="2" t="s">
        <v>21</v>
      </c>
      <c r="C1141" s="4">
        <v>3576.17</v>
      </c>
    </row>
    <row r="1142" spans="1:3" s="1" customFormat="1" ht="19.75" customHeight="1" x14ac:dyDescent="0.25">
      <c r="A1142" s="7">
        <f>2013</f>
        <v>2013</v>
      </c>
      <c r="B1142" s="2" t="s">
        <v>12</v>
      </c>
      <c r="C1142" s="3">
        <v>4123.7</v>
      </c>
    </row>
    <row r="1143" spans="1:3" s="1" customFormat="1" ht="19.75" customHeight="1" x14ac:dyDescent="0.25">
      <c r="A1143" s="7">
        <f>2013</f>
        <v>2013</v>
      </c>
      <c r="B1143" s="2" t="s">
        <v>14</v>
      </c>
      <c r="C1143" s="4">
        <v>201.43</v>
      </c>
    </row>
    <row r="1144" spans="1:3" s="1" customFormat="1" ht="19.75" customHeight="1" x14ac:dyDescent="0.25">
      <c r="A1144" s="7">
        <f>2013</f>
        <v>2013</v>
      </c>
      <c r="B1144" s="2" t="s">
        <v>15</v>
      </c>
      <c r="C1144" s="3">
        <v>69.31</v>
      </c>
    </row>
    <row r="1145" spans="1:3" s="1" customFormat="1" ht="19.75" customHeight="1" x14ac:dyDescent="0.25">
      <c r="A1145" s="7">
        <f>2013</f>
        <v>2013</v>
      </c>
      <c r="B1145" s="2" t="s">
        <v>16</v>
      </c>
      <c r="C1145" s="4">
        <v>24.07</v>
      </c>
    </row>
    <row r="1146" spans="1:3" s="1" customFormat="1" ht="19.75" customHeight="1" x14ac:dyDescent="0.25">
      <c r="A1146" s="7">
        <f>2013</f>
        <v>2013</v>
      </c>
      <c r="B1146" s="2" t="s">
        <v>18</v>
      </c>
      <c r="C1146" s="3">
        <v>621.39</v>
      </c>
    </row>
    <row r="1147" spans="1:3" s="1" customFormat="1" ht="19.75" customHeight="1" x14ac:dyDescent="0.25">
      <c r="A1147" s="7">
        <f>2013</f>
        <v>2013</v>
      </c>
      <c r="B1147" s="2" t="s">
        <v>19</v>
      </c>
      <c r="C1147" s="4">
        <v>4701.34</v>
      </c>
    </row>
    <row r="1148" spans="1:3" s="1" customFormat="1" ht="19.75" customHeight="1" x14ac:dyDescent="0.25">
      <c r="A1148" s="7">
        <f>2013</f>
        <v>2013</v>
      </c>
      <c r="B1148" s="2" t="s">
        <v>20</v>
      </c>
      <c r="C1148" s="3">
        <v>4873.76</v>
      </c>
    </row>
    <row r="1149" spans="1:3" s="1" customFormat="1" ht="19.75" customHeight="1" x14ac:dyDescent="0.25">
      <c r="A1149" s="7">
        <f>2013</f>
        <v>2013</v>
      </c>
      <c r="B1149" s="2" t="s">
        <v>23</v>
      </c>
      <c r="C1149" s="4">
        <v>778.28</v>
      </c>
    </row>
    <row r="1150" spans="1:3" s="1" customFormat="1" ht="19.75" customHeight="1" x14ac:dyDescent="0.25">
      <c r="A1150" s="7">
        <f>2013</f>
        <v>2013</v>
      </c>
      <c r="B1150" s="2" t="s">
        <v>121</v>
      </c>
      <c r="C1150" s="3">
        <v>379.72879999999998</v>
      </c>
    </row>
    <row r="1151" spans="1:3" s="1" customFormat="1" ht="19.75" customHeight="1" x14ac:dyDescent="0.25">
      <c r="A1151" s="7">
        <f>2013</f>
        <v>2013</v>
      </c>
      <c r="B1151" s="2" t="s">
        <v>24</v>
      </c>
      <c r="C1151" s="4">
        <v>755.66</v>
      </c>
    </row>
    <row r="1152" spans="1:3" s="1" customFormat="1" ht="19.75" customHeight="1" x14ac:dyDescent="0.25">
      <c r="A1152" s="7">
        <f>2013</f>
        <v>2013</v>
      </c>
      <c r="B1152" s="2" t="s">
        <v>25</v>
      </c>
      <c r="C1152" s="3">
        <v>287.25</v>
      </c>
    </row>
    <row r="1153" spans="1:3" s="1" customFormat="1" ht="19.75" customHeight="1" x14ac:dyDescent="0.25">
      <c r="A1153" s="7">
        <f>2013</f>
        <v>2013</v>
      </c>
      <c r="B1153" s="2" t="s">
        <v>26</v>
      </c>
      <c r="C1153" s="4">
        <v>298.51</v>
      </c>
    </row>
    <row r="1154" spans="1:3" s="1" customFormat="1" ht="19.75" customHeight="1" x14ac:dyDescent="0.25">
      <c r="A1154" s="7">
        <f>2013</f>
        <v>2013</v>
      </c>
      <c r="B1154" s="2" t="s">
        <v>27</v>
      </c>
      <c r="C1154" s="3">
        <v>795.89</v>
      </c>
    </row>
    <row r="1155" spans="1:3" s="1" customFormat="1" ht="19.75" customHeight="1" x14ac:dyDescent="0.25">
      <c r="A1155" s="7">
        <f>2013</f>
        <v>2013</v>
      </c>
      <c r="B1155" s="2" t="s">
        <v>107</v>
      </c>
      <c r="C1155" s="4">
        <v>159.57</v>
      </c>
    </row>
    <row r="1156" spans="1:3" s="1" customFormat="1" ht="19.75" customHeight="1" x14ac:dyDescent="0.25">
      <c r="A1156" s="7">
        <f>2013</f>
        <v>2013</v>
      </c>
      <c r="B1156" s="2" t="s">
        <v>28</v>
      </c>
      <c r="C1156" s="3">
        <v>45.75</v>
      </c>
    </row>
    <row r="1157" spans="1:3" s="1" customFormat="1" ht="19.75" customHeight="1" x14ac:dyDescent="0.25">
      <c r="A1157" s="7">
        <f>2013</f>
        <v>2013</v>
      </c>
      <c r="B1157" s="2" t="s">
        <v>29</v>
      </c>
      <c r="C1157" s="4">
        <v>64.22</v>
      </c>
    </row>
    <row r="1158" spans="1:3" s="1" customFormat="1" ht="19.75" customHeight="1" x14ac:dyDescent="0.25">
      <c r="A1158" s="7">
        <f>2013</f>
        <v>2013</v>
      </c>
      <c r="B1158" s="2" t="s">
        <v>30</v>
      </c>
      <c r="C1158" s="3">
        <v>346.31</v>
      </c>
    </row>
    <row r="1159" spans="1:3" s="1" customFormat="1" ht="19.75" customHeight="1" x14ac:dyDescent="0.25">
      <c r="A1159" s="7">
        <f>2013</f>
        <v>2013</v>
      </c>
      <c r="B1159" s="2" t="s">
        <v>31</v>
      </c>
      <c r="C1159" s="4">
        <v>249.43</v>
      </c>
    </row>
    <row r="1160" spans="1:3" s="1" customFormat="1" ht="19.75" customHeight="1" x14ac:dyDescent="0.25">
      <c r="A1160" s="7">
        <f>2013</f>
        <v>2013</v>
      </c>
      <c r="B1160" s="2" t="s">
        <v>32</v>
      </c>
      <c r="C1160" s="3">
        <v>841.00509999999997</v>
      </c>
    </row>
    <row r="1161" spans="1:3" s="1" customFormat="1" ht="19.75" customHeight="1" x14ac:dyDescent="0.25">
      <c r="A1161" s="7">
        <f>2013</f>
        <v>2013</v>
      </c>
      <c r="B1161" s="2" t="s">
        <v>17</v>
      </c>
      <c r="C1161" s="4">
        <v>48.78</v>
      </c>
    </row>
    <row r="1162" spans="1:3" s="1" customFormat="1" ht="19.75" customHeight="1" x14ac:dyDescent="0.25">
      <c r="A1162" s="7">
        <f>2013</f>
        <v>2013</v>
      </c>
      <c r="B1162" s="2" t="s">
        <v>93</v>
      </c>
      <c r="C1162" s="3">
        <v>5.7511999999999999</v>
      </c>
    </row>
    <row r="1163" spans="1:3" s="1" customFormat="1" ht="19.75" customHeight="1" x14ac:dyDescent="0.25">
      <c r="A1163" s="7">
        <f>2013</f>
        <v>2013</v>
      </c>
      <c r="B1163" s="2" t="s">
        <v>98</v>
      </c>
      <c r="C1163" s="4">
        <v>12.128</v>
      </c>
    </row>
    <row r="1164" spans="1:3" s="1" customFormat="1" ht="19.75" customHeight="1" x14ac:dyDescent="0.25">
      <c r="A1164" s="7">
        <f>2013</f>
        <v>2013</v>
      </c>
      <c r="B1164" s="2" t="s">
        <v>34</v>
      </c>
      <c r="C1164" s="3">
        <v>41.360900000000001</v>
      </c>
    </row>
    <row r="1165" spans="1:3" s="1" customFormat="1" ht="19.75" customHeight="1" x14ac:dyDescent="0.25">
      <c r="A1165" s="7">
        <f>2013</f>
        <v>2013</v>
      </c>
      <c r="B1165" s="2" t="s">
        <v>35</v>
      </c>
      <c r="C1165" s="4">
        <v>40.408000000000001</v>
      </c>
    </row>
    <row r="1166" spans="1:3" s="1" customFormat="1" ht="19.75" customHeight="1" x14ac:dyDescent="0.25">
      <c r="A1166" s="7">
        <f>2013</f>
        <v>2013</v>
      </c>
      <c r="B1166" s="2" t="s">
        <v>36</v>
      </c>
      <c r="C1166" s="3">
        <v>335.5412</v>
      </c>
    </row>
    <row r="1167" spans="1:3" s="1" customFormat="1" ht="19.75" customHeight="1" x14ac:dyDescent="0.25">
      <c r="A1167" s="7">
        <f>2013</f>
        <v>2013</v>
      </c>
      <c r="B1167" s="2" t="s">
        <v>37</v>
      </c>
      <c r="C1167" s="4">
        <v>26.47</v>
      </c>
    </row>
    <row r="1168" spans="1:3" s="1" customFormat="1" ht="19.75" customHeight="1" x14ac:dyDescent="0.25">
      <c r="A1168" s="7">
        <f>2013</f>
        <v>2013</v>
      </c>
      <c r="B1168" s="2" t="s">
        <v>38</v>
      </c>
      <c r="C1168" s="3">
        <v>4.8099999999999996</v>
      </c>
    </row>
    <row r="1169" spans="1:3" s="1" customFormat="1" ht="19.75" customHeight="1" x14ac:dyDescent="0.25">
      <c r="A1169" s="7">
        <f>2013</f>
        <v>2013</v>
      </c>
      <c r="B1169" s="2" t="s">
        <v>40</v>
      </c>
      <c r="C1169" s="4">
        <v>214.7003</v>
      </c>
    </row>
    <row r="1170" spans="1:3" s="1" customFormat="1" ht="19.75" customHeight="1" x14ac:dyDescent="0.25">
      <c r="A1170" s="7">
        <f>2013</f>
        <v>2013</v>
      </c>
      <c r="B1170" s="2" t="s">
        <v>41</v>
      </c>
      <c r="C1170" s="3">
        <v>224.5026</v>
      </c>
    </row>
    <row r="1171" spans="1:3" s="1" customFormat="1" ht="19.75" customHeight="1" x14ac:dyDescent="0.25">
      <c r="A1171" s="7">
        <f>2013</f>
        <v>2013</v>
      </c>
      <c r="B1171" s="2" t="s">
        <v>42</v>
      </c>
      <c r="C1171" s="4">
        <v>162.85</v>
      </c>
    </row>
    <row r="1172" spans="1:3" s="1" customFormat="1" ht="19.75" customHeight="1" x14ac:dyDescent="0.25">
      <c r="A1172" s="7">
        <f>2013</f>
        <v>2013</v>
      </c>
      <c r="B1172" s="2" t="s">
        <v>43</v>
      </c>
      <c r="C1172" s="3">
        <v>1562.08</v>
      </c>
    </row>
    <row r="1173" spans="1:3" s="1" customFormat="1" ht="19.75" customHeight="1" x14ac:dyDescent="0.25">
      <c r="A1173" s="7">
        <f>2013</f>
        <v>2013</v>
      </c>
      <c r="B1173" s="2" t="s">
        <v>119</v>
      </c>
      <c r="C1173" s="4">
        <v>0.31</v>
      </c>
    </row>
    <row r="1174" spans="1:3" s="1" customFormat="1" ht="19.75" customHeight="1" x14ac:dyDescent="0.25">
      <c r="A1174" s="7">
        <f>2013</f>
        <v>2013</v>
      </c>
      <c r="B1174" s="2" t="s">
        <v>44</v>
      </c>
      <c r="C1174" s="3">
        <v>13.3477</v>
      </c>
    </row>
    <row r="1175" spans="1:3" s="1" customFormat="1" ht="19.75" customHeight="1" x14ac:dyDescent="0.25">
      <c r="A1175" s="7">
        <f>2013</f>
        <v>2013</v>
      </c>
      <c r="B1175" s="2" t="s">
        <v>45</v>
      </c>
      <c r="C1175" s="4">
        <v>52</v>
      </c>
    </row>
    <row r="1176" spans="1:3" s="1" customFormat="1" ht="19.75" customHeight="1" x14ac:dyDescent="0.25">
      <c r="A1176" s="7">
        <f>2013</f>
        <v>2013</v>
      </c>
      <c r="B1176" s="2" t="s">
        <v>94</v>
      </c>
      <c r="C1176" s="3">
        <v>68.933000000000007</v>
      </c>
    </row>
    <row r="1177" spans="1:3" s="1" customFormat="1" ht="19.75" customHeight="1" x14ac:dyDescent="0.25">
      <c r="A1177" s="7">
        <f>2013</f>
        <v>2013</v>
      </c>
      <c r="B1177" s="2" t="s">
        <v>46</v>
      </c>
      <c r="C1177" s="4">
        <v>24.15</v>
      </c>
    </row>
    <row r="1178" spans="1:3" s="1" customFormat="1" ht="19.75" customHeight="1" x14ac:dyDescent="0.25">
      <c r="A1178" s="7">
        <f>2013</f>
        <v>2013</v>
      </c>
      <c r="B1178" s="2" t="s">
        <v>47</v>
      </c>
      <c r="C1178" s="3">
        <v>375.40820000000002</v>
      </c>
    </row>
    <row r="1179" spans="1:3" s="1" customFormat="1" ht="19.75" customHeight="1" x14ac:dyDescent="0.25">
      <c r="A1179" s="7">
        <f>2013</f>
        <v>2013</v>
      </c>
      <c r="B1179" s="2" t="s">
        <v>48</v>
      </c>
      <c r="C1179" s="4">
        <v>788.72460000000001</v>
      </c>
    </row>
    <row r="1180" spans="1:3" s="1" customFormat="1" ht="19.75" customHeight="1" x14ac:dyDescent="0.25">
      <c r="A1180" s="7">
        <f>2013</f>
        <v>2013</v>
      </c>
      <c r="B1180" s="2" t="s">
        <v>52</v>
      </c>
      <c r="C1180" s="3">
        <v>26.3627</v>
      </c>
    </row>
    <row r="1181" spans="1:3" s="1" customFormat="1" ht="19.75" customHeight="1" x14ac:dyDescent="0.25">
      <c r="A1181" s="7">
        <f>2013</f>
        <v>2013</v>
      </c>
      <c r="B1181" s="2" t="s">
        <v>99</v>
      </c>
      <c r="C1181" s="4">
        <v>1356.4034999999999</v>
      </c>
    </row>
    <row r="1182" spans="1:3" s="1" customFormat="1" ht="19.75" customHeight="1" x14ac:dyDescent="0.25">
      <c r="A1182" s="7">
        <f>2013</f>
        <v>2013</v>
      </c>
      <c r="B1182" s="2" t="s">
        <v>122</v>
      </c>
      <c r="C1182" s="3">
        <v>5.0483000000000002</v>
      </c>
    </row>
    <row r="1183" spans="1:3" s="1" customFormat="1" ht="19.75" customHeight="1" x14ac:dyDescent="0.25">
      <c r="A1183" s="7">
        <f>2013</f>
        <v>2013</v>
      </c>
      <c r="B1183" s="2" t="s">
        <v>53</v>
      </c>
      <c r="C1183" s="4">
        <v>14.1097</v>
      </c>
    </row>
    <row r="1184" spans="1:3" s="1" customFormat="1" ht="19.75" customHeight="1" x14ac:dyDescent="0.25">
      <c r="A1184" s="7">
        <f>2013</f>
        <v>2013</v>
      </c>
      <c r="B1184" s="2" t="s">
        <v>55</v>
      </c>
      <c r="C1184" s="3">
        <v>478.51620000000003</v>
      </c>
    </row>
    <row r="1185" spans="1:3" s="1" customFormat="1" ht="19.75" customHeight="1" x14ac:dyDescent="0.25">
      <c r="A1185" s="7">
        <f>2013</f>
        <v>2013</v>
      </c>
      <c r="B1185" s="2" t="s">
        <v>56</v>
      </c>
      <c r="C1185" s="4">
        <v>2.68</v>
      </c>
    </row>
    <row r="1186" spans="1:3" s="1" customFormat="1" ht="19.75" customHeight="1" x14ac:dyDescent="0.25">
      <c r="A1186" s="7">
        <f>2013</f>
        <v>2013</v>
      </c>
      <c r="B1186" s="2" t="s">
        <v>123</v>
      </c>
      <c r="C1186" s="3">
        <v>28.129899999999999</v>
      </c>
    </row>
    <row r="1187" spans="1:3" s="1" customFormat="1" ht="19.75" customHeight="1" x14ac:dyDescent="0.25">
      <c r="A1187" s="7">
        <f>2013</f>
        <v>2013</v>
      </c>
      <c r="B1187" s="2" t="s">
        <v>95</v>
      </c>
      <c r="C1187" s="4">
        <v>2.8929</v>
      </c>
    </row>
    <row r="1188" spans="1:3" s="1" customFormat="1" ht="19.75" customHeight="1" x14ac:dyDescent="0.25">
      <c r="A1188" s="7">
        <f>2013</f>
        <v>2013</v>
      </c>
      <c r="B1188" s="2" t="s">
        <v>59</v>
      </c>
      <c r="C1188" s="3">
        <v>7.6989000000000001</v>
      </c>
    </row>
    <row r="1189" spans="1:3" s="1" customFormat="1" ht="19.75" customHeight="1" x14ac:dyDescent="0.25">
      <c r="A1189" s="7">
        <f>2013</f>
        <v>2013</v>
      </c>
      <c r="B1189" s="2" t="s">
        <v>60</v>
      </c>
      <c r="C1189" s="4">
        <v>209.97630000000001</v>
      </c>
    </row>
    <row r="1190" spans="1:3" s="1" customFormat="1" ht="19.75" customHeight="1" x14ac:dyDescent="0.25">
      <c r="A1190" s="7">
        <f>2013</f>
        <v>2013</v>
      </c>
      <c r="B1190" s="2" t="s">
        <v>61</v>
      </c>
      <c r="C1190" s="3">
        <v>266.23</v>
      </c>
    </row>
    <row r="1191" spans="1:3" s="1" customFormat="1" ht="19.75" customHeight="1" x14ac:dyDescent="0.25">
      <c r="A1191" s="7">
        <f>2013</f>
        <v>2013</v>
      </c>
      <c r="B1191" s="2" t="s">
        <v>111</v>
      </c>
      <c r="C1191" s="4">
        <v>0.75660000000000005</v>
      </c>
    </row>
    <row r="1192" spans="1:3" s="1" customFormat="1" ht="19.75" customHeight="1" x14ac:dyDescent="0.25">
      <c r="A1192" s="7">
        <f>2013</f>
        <v>2013</v>
      </c>
      <c r="B1192" s="2" t="s">
        <v>64</v>
      </c>
      <c r="C1192" s="3">
        <v>-7.0000000000000007E-2</v>
      </c>
    </row>
    <row r="1193" spans="1:3" s="1" customFormat="1" ht="19.75" customHeight="1" x14ac:dyDescent="0.25">
      <c r="A1193" s="7">
        <f>2013</f>
        <v>2013</v>
      </c>
      <c r="B1193" s="2" t="s">
        <v>66</v>
      </c>
      <c r="C1193" s="4">
        <v>0.1479</v>
      </c>
    </row>
    <row r="1194" spans="1:3" s="1" customFormat="1" ht="19.75" customHeight="1" x14ac:dyDescent="0.25">
      <c r="A1194" s="7">
        <f>2013</f>
        <v>2013</v>
      </c>
      <c r="B1194" s="2" t="s">
        <v>67</v>
      </c>
      <c r="C1194" s="3">
        <v>38.01</v>
      </c>
    </row>
    <row r="1195" spans="1:3" s="1" customFormat="1" ht="19.75" customHeight="1" x14ac:dyDescent="0.25">
      <c r="A1195" s="7">
        <f>2013</f>
        <v>2013</v>
      </c>
      <c r="B1195" s="2" t="s">
        <v>68</v>
      </c>
      <c r="C1195" s="4">
        <v>44.157400000000003</v>
      </c>
    </row>
    <row r="1196" spans="1:3" s="1" customFormat="1" ht="19.75" customHeight="1" x14ac:dyDescent="0.25">
      <c r="A1196" s="7">
        <f>2013</f>
        <v>2013</v>
      </c>
      <c r="B1196" s="2" t="s">
        <v>69</v>
      </c>
      <c r="C1196" s="3">
        <v>22.405000000000001</v>
      </c>
    </row>
    <row r="1197" spans="1:3" s="1" customFormat="1" ht="19.75" customHeight="1" x14ac:dyDescent="0.25">
      <c r="A1197" s="7">
        <f>2013</f>
        <v>2013</v>
      </c>
      <c r="B1197" s="2" t="s">
        <v>96</v>
      </c>
      <c r="C1197" s="4">
        <v>2.2770000000000001</v>
      </c>
    </row>
    <row r="1198" spans="1:3" s="1" customFormat="1" ht="19.75" customHeight="1" x14ac:dyDescent="0.25">
      <c r="A1198" s="7">
        <f>2013</f>
        <v>2013</v>
      </c>
      <c r="B1198" s="2" t="s">
        <v>71</v>
      </c>
      <c r="C1198" s="3">
        <v>1957.2003999999999</v>
      </c>
    </row>
    <row r="1199" spans="1:3" s="1" customFormat="1" ht="19.75" customHeight="1" x14ac:dyDescent="0.25">
      <c r="A1199" s="7">
        <f>2013</f>
        <v>2013</v>
      </c>
      <c r="B1199" s="2" t="s">
        <v>72</v>
      </c>
      <c r="C1199" s="4">
        <v>0.85389999999999999</v>
      </c>
    </row>
    <row r="1200" spans="1:3" s="1" customFormat="1" ht="19.75" customHeight="1" x14ac:dyDescent="0.25">
      <c r="A1200" s="7">
        <f>2013</f>
        <v>2013</v>
      </c>
      <c r="B1200" s="2" t="s">
        <v>74</v>
      </c>
      <c r="C1200" s="3">
        <v>67.0334</v>
      </c>
    </row>
    <row r="1201" spans="1:3" s="1" customFormat="1" ht="19.75" customHeight="1" x14ac:dyDescent="0.25">
      <c r="A1201" s="7">
        <f>2013</f>
        <v>2013</v>
      </c>
      <c r="B1201" s="2" t="s">
        <v>75</v>
      </c>
      <c r="C1201" s="4">
        <v>0.70009999999999994</v>
      </c>
    </row>
    <row r="1202" spans="1:3" s="1" customFormat="1" ht="19.75" customHeight="1" x14ac:dyDescent="0.25">
      <c r="A1202" s="7">
        <f>2013</f>
        <v>2013</v>
      </c>
      <c r="B1202" s="2" t="s">
        <v>108</v>
      </c>
      <c r="C1202" s="3">
        <v>9.6258999999999997</v>
      </c>
    </row>
    <row r="1203" spans="1:3" s="1" customFormat="1" ht="19.75" customHeight="1" x14ac:dyDescent="0.25">
      <c r="A1203" s="7">
        <f>2013</f>
        <v>2013</v>
      </c>
      <c r="B1203" s="2" t="s">
        <v>76</v>
      </c>
      <c r="C1203" s="4">
        <v>1.8951</v>
      </c>
    </row>
    <row r="1204" spans="1:3" s="1" customFormat="1" ht="19.75" customHeight="1" x14ac:dyDescent="0.25">
      <c r="A1204" s="7">
        <f>2013</f>
        <v>2013</v>
      </c>
      <c r="B1204" s="2" t="s">
        <v>100</v>
      </c>
      <c r="C1204" s="3">
        <v>254.95670000000001</v>
      </c>
    </row>
    <row r="1205" spans="1:3" s="1" customFormat="1" ht="19.75" customHeight="1" x14ac:dyDescent="0.25">
      <c r="A1205" s="7">
        <f>2012</f>
        <v>2012</v>
      </c>
      <c r="B1205" s="2" t="s">
        <v>113</v>
      </c>
      <c r="C1205" s="4">
        <v>837.58</v>
      </c>
    </row>
    <row r="1206" spans="1:3" s="1" customFormat="1" ht="19.75" customHeight="1" x14ac:dyDescent="0.25">
      <c r="A1206" s="7">
        <f>2012</f>
        <v>2012</v>
      </c>
      <c r="B1206" s="2" t="s">
        <v>114</v>
      </c>
      <c r="C1206" s="3">
        <v>1354.72</v>
      </c>
    </row>
    <row r="1207" spans="1:3" s="1" customFormat="1" ht="19.75" customHeight="1" x14ac:dyDescent="0.25">
      <c r="A1207" s="7">
        <f>2012</f>
        <v>2012</v>
      </c>
      <c r="B1207" s="2" t="s">
        <v>9</v>
      </c>
      <c r="C1207" s="4">
        <v>19866.25</v>
      </c>
    </row>
    <row r="1208" spans="1:3" s="1" customFormat="1" ht="19.75" customHeight="1" x14ac:dyDescent="0.25">
      <c r="A1208" s="7">
        <f>2012</f>
        <v>2012</v>
      </c>
      <c r="B1208" s="2" t="s">
        <v>115</v>
      </c>
      <c r="C1208" s="3">
        <v>690.47</v>
      </c>
    </row>
    <row r="1209" spans="1:3" s="1" customFormat="1" ht="19.75" customHeight="1" x14ac:dyDescent="0.25">
      <c r="A1209" s="7">
        <f>2012</f>
        <v>2012</v>
      </c>
      <c r="B1209" s="2" t="s">
        <v>116</v>
      </c>
      <c r="C1209" s="4">
        <v>966.46</v>
      </c>
    </row>
    <row r="1210" spans="1:3" s="1" customFormat="1" ht="19.75" customHeight="1" x14ac:dyDescent="0.25">
      <c r="A1210" s="7">
        <f>2012</f>
        <v>2012</v>
      </c>
      <c r="B1210" s="2" t="s">
        <v>117</v>
      </c>
      <c r="C1210" s="3">
        <v>738.34</v>
      </c>
    </row>
    <row r="1211" spans="1:3" s="1" customFormat="1" ht="19.75" customHeight="1" x14ac:dyDescent="0.25">
      <c r="A1211" s="7">
        <f>2012</f>
        <v>2012</v>
      </c>
      <c r="B1211" s="2" t="s">
        <v>101</v>
      </c>
      <c r="C1211" s="4">
        <v>1903.15</v>
      </c>
    </row>
    <row r="1212" spans="1:3" s="1" customFormat="1" ht="19.75" customHeight="1" x14ac:dyDescent="0.25">
      <c r="A1212" s="7">
        <f>2012</f>
        <v>2012</v>
      </c>
      <c r="B1212" s="2" t="s">
        <v>102</v>
      </c>
      <c r="C1212" s="3">
        <v>1470.33</v>
      </c>
    </row>
    <row r="1213" spans="1:3" s="1" customFormat="1" ht="19.75" customHeight="1" x14ac:dyDescent="0.25">
      <c r="A1213" s="7">
        <f>2012</f>
        <v>2012</v>
      </c>
      <c r="B1213" s="2" t="s">
        <v>0</v>
      </c>
      <c r="C1213" s="4">
        <v>3573.67</v>
      </c>
    </row>
    <row r="1214" spans="1:3" s="1" customFormat="1" ht="19.75" customHeight="1" x14ac:dyDescent="0.25">
      <c r="A1214" s="7">
        <f>2012</f>
        <v>2012</v>
      </c>
      <c r="B1214" s="2" t="s">
        <v>1</v>
      </c>
      <c r="C1214" s="3">
        <v>4016.43</v>
      </c>
    </row>
    <row r="1215" spans="1:3" s="1" customFormat="1" ht="19.75" customHeight="1" x14ac:dyDescent="0.25">
      <c r="A1215" s="7">
        <f>2012</f>
        <v>2012</v>
      </c>
      <c r="B1215" s="2" t="s">
        <v>2</v>
      </c>
      <c r="C1215" s="4">
        <v>1084.4100000000001</v>
      </c>
    </row>
    <row r="1216" spans="1:3" s="1" customFormat="1" ht="19.75" customHeight="1" x14ac:dyDescent="0.25">
      <c r="A1216" s="7">
        <f>2012</f>
        <v>2012</v>
      </c>
      <c r="B1216" s="2" t="s">
        <v>3</v>
      </c>
      <c r="C1216" s="3">
        <v>2660.45</v>
      </c>
    </row>
    <row r="1217" spans="1:3" s="1" customFormat="1" ht="19.75" customHeight="1" x14ac:dyDescent="0.25">
      <c r="A1217" s="7">
        <f>2012</f>
        <v>2012</v>
      </c>
      <c r="B1217" s="2" t="s">
        <v>4</v>
      </c>
      <c r="C1217" s="4">
        <v>2282</v>
      </c>
    </row>
    <row r="1218" spans="1:3" s="1" customFormat="1" ht="19.75" customHeight="1" x14ac:dyDescent="0.25">
      <c r="A1218" s="7">
        <f>2012</f>
        <v>2012</v>
      </c>
      <c r="B1218" s="2" t="s">
        <v>103</v>
      </c>
      <c r="C1218" s="3">
        <v>1349.93</v>
      </c>
    </row>
    <row r="1219" spans="1:3" s="1" customFormat="1" ht="19.75" customHeight="1" x14ac:dyDescent="0.25">
      <c r="A1219" s="7">
        <f>2012</f>
        <v>2012</v>
      </c>
      <c r="B1219" s="2" t="s">
        <v>109</v>
      </c>
      <c r="C1219" s="4">
        <v>725.29</v>
      </c>
    </row>
    <row r="1220" spans="1:3" s="1" customFormat="1" ht="19.75" customHeight="1" x14ac:dyDescent="0.25">
      <c r="A1220" s="7">
        <f>2012</f>
        <v>2012</v>
      </c>
      <c r="B1220" s="2" t="s">
        <v>5</v>
      </c>
      <c r="C1220" s="3">
        <v>1716.2</v>
      </c>
    </row>
    <row r="1221" spans="1:3" s="1" customFormat="1" ht="19.75" customHeight="1" x14ac:dyDescent="0.25">
      <c r="A1221" s="7">
        <f>2012</f>
        <v>2012</v>
      </c>
      <c r="B1221" s="2" t="s">
        <v>6</v>
      </c>
      <c r="C1221" s="4">
        <v>2484.02</v>
      </c>
    </row>
    <row r="1222" spans="1:3" s="1" customFormat="1" ht="19.75" customHeight="1" x14ac:dyDescent="0.25">
      <c r="A1222" s="7">
        <f>2012</f>
        <v>2012</v>
      </c>
      <c r="B1222" s="2" t="s">
        <v>104</v>
      </c>
      <c r="C1222" s="3">
        <v>1999.02</v>
      </c>
    </row>
    <row r="1223" spans="1:3" s="1" customFormat="1" ht="19.75" customHeight="1" x14ac:dyDescent="0.25">
      <c r="A1223" s="7">
        <f>2012</f>
        <v>2012</v>
      </c>
      <c r="B1223" s="2" t="s">
        <v>7</v>
      </c>
      <c r="C1223" s="4">
        <v>308.70999999999998</v>
      </c>
    </row>
    <row r="1224" spans="1:3" s="1" customFormat="1" ht="19.75" customHeight="1" x14ac:dyDescent="0.25">
      <c r="A1224" s="7">
        <f>2012</f>
        <v>2012</v>
      </c>
      <c r="B1224" s="2" t="s">
        <v>8</v>
      </c>
      <c r="C1224" s="3">
        <v>5730.09</v>
      </c>
    </row>
    <row r="1225" spans="1:3" s="1" customFormat="1" ht="19.75" customHeight="1" x14ac:dyDescent="0.25">
      <c r="A1225" s="7">
        <f>2012</f>
        <v>2012</v>
      </c>
      <c r="B1225" s="2" t="s">
        <v>105</v>
      </c>
      <c r="C1225" s="4">
        <v>2033.4</v>
      </c>
    </row>
    <row r="1226" spans="1:3" s="1" customFormat="1" ht="19.75" customHeight="1" x14ac:dyDescent="0.25">
      <c r="A1226" s="7">
        <f>2012</f>
        <v>2012</v>
      </c>
      <c r="B1226" s="2" t="s">
        <v>10</v>
      </c>
      <c r="C1226" s="3">
        <v>1702.76</v>
      </c>
    </row>
    <row r="1227" spans="1:3" s="1" customFormat="1" ht="19.75" customHeight="1" x14ac:dyDescent="0.25">
      <c r="A1227" s="7">
        <f>2012</f>
        <v>2012</v>
      </c>
      <c r="B1227" s="2" t="s">
        <v>11</v>
      </c>
      <c r="C1227" s="4">
        <v>3466.62</v>
      </c>
    </row>
    <row r="1228" spans="1:3" s="1" customFormat="1" ht="19.75" customHeight="1" x14ac:dyDescent="0.25">
      <c r="A1228" s="7">
        <f>2012</f>
        <v>2012</v>
      </c>
      <c r="B1228" s="2" t="s">
        <v>106</v>
      </c>
      <c r="C1228" s="3">
        <v>1196.31</v>
      </c>
    </row>
    <row r="1229" spans="1:3" s="1" customFormat="1" ht="19.75" customHeight="1" x14ac:dyDescent="0.25">
      <c r="A1229" s="7">
        <f>2012</f>
        <v>2012</v>
      </c>
      <c r="B1229" s="2" t="s">
        <v>110</v>
      </c>
      <c r="C1229" s="4">
        <v>649.08000000000004</v>
      </c>
    </row>
    <row r="1230" spans="1:3" s="1" customFormat="1" ht="19.75" customHeight="1" x14ac:dyDescent="0.25">
      <c r="A1230" s="7">
        <f>2012</f>
        <v>2012</v>
      </c>
      <c r="B1230" s="2" t="s">
        <v>21</v>
      </c>
      <c r="C1230" s="3">
        <v>2017.96</v>
      </c>
    </row>
    <row r="1231" spans="1:3" s="1" customFormat="1" ht="19.75" customHeight="1" x14ac:dyDescent="0.25">
      <c r="A1231" s="7">
        <f>2012</f>
        <v>2012</v>
      </c>
      <c r="B1231" s="2" t="s">
        <v>12</v>
      </c>
      <c r="C1231" s="4">
        <v>3188.66</v>
      </c>
    </row>
    <row r="1232" spans="1:3" s="1" customFormat="1" ht="19.75" customHeight="1" x14ac:dyDescent="0.25">
      <c r="A1232" s="7">
        <f>2012</f>
        <v>2012</v>
      </c>
      <c r="B1232" s="2" t="s">
        <v>14</v>
      </c>
      <c r="C1232" s="3">
        <v>146.80000000000001</v>
      </c>
    </row>
    <row r="1233" spans="1:3" s="1" customFormat="1" ht="19.75" customHeight="1" x14ac:dyDescent="0.25">
      <c r="A1233" s="7">
        <f>2012</f>
        <v>2012</v>
      </c>
      <c r="B1233" s="2" t="s">
        <v>15</v>
      </c>
      <c r="C1233" s="4">
        <v>67.599999999999994</v>
      </c>
    </row>
    <row r="1234" spans="1:3" s="1" customFormat="1" ht="19.75" customHeight="1" x14ac:dyDescent="0.25">
      <c r="A1234" s="7">
        <f>2012</f>
        <v>2012</v>
      </c>
      <c r="B1234" s="2" t="s">
        <v>16</v>
      </c>
      <c r="C1234" s="3">
        <v>28.74</v>
      </c>
    </row>
    <row r="1235" spans="1:3" s="1" customFormat="1" ht="19.75" customHeight="1" x14ac:dyDescent="0.25">
      <c r="A1235" s="7">
        <f>2012</f>
        <v>2012</v>
      </c>
      <c r="B1235" s="2" t="s">
        <v>18</v>
      </c>
      <c r="C1235" s="4">
        <v>729.68</v>
      </c>
    </row>
    <row r="1236" spans="1:3" s="1" customFormat="1" ht="19.75" customHeight="1" x14ac:dyDescent="0.25">
      <c r="A1236" s="7">
        <f>2012</f>
        <v>2012</v>
      </c>
      <c r="B1236" s="2" t="s">
        <v>19</v>
      </c>
      <c r="C1236" s="3">
        <v>4223.5200000000004</v>
      </c>
    </row>
    <row r="1237" spans="1:3" s="1" customFormat="1" ht="19.75" customHeight="1" x14ac:dyDescent="0.25">
      <c r="A1237" s="7">
        <f>2012</f>
        <v>2012</v>
      </c>
      <c r="B1237" s="2" t="s">
        <v>20</v>
      </c>
      <c r="C1237" s="4">
        <v>3921.21</v>
      </c>
    </row>
    <row r="1238" spans="1:3" s="1" customFormat="1" ht="19.75" customHeight="1" x14ac:dyDescent="0.25">
      <c r="A1238" s="7">
        <f>2012</f>
        <v>2012</v>
      </c>
      <c r="B1238" s="2" t="s">
        <v>23</v>
      </c>
      <c r="C1238" s="3">
        <v>570.41999999999996</v>
      </c>
    </row>
    <row r="1239" spans="1:3" s="1" customFormat="1" ht="19.75" customHeight="1" x14ac:dyDescent="0.25">
      <c r="A1239" s="7">
        <f>2012</f>
        <v>2012</v>
      </c>
      <c r="B1239" s="2" t="s">
        <v>121</v>
      </c>
      <c r="C1239" s="4">
        <v>311.5942</v>
      </c>
    </row>
    <row r="1240" spans="1:3" s="1" customFormat="1" ht="19.75" customHeight="1" x14ac:dyDescent="0.25">
      <c r="A1240" s="7">
        <f>2012</f>
        <v>2012</v>
      </c>
      <c r="B1240" s="2" t="s">
        <v>24</v>
      </c>
      <c r="C1240" s="3">
        <v>567.08000000000004</v>
      </c>
    </row>
    <row r="1241" spans="1:3" s="1" customFormat="1" ht="19.75" customHeight="1" x14ac:dyDescent="0.25">
      <c r="A1241" s="7">
        <f>2012</f>
        <v>2012</v>
      </c>
      <c r="B1241" s="2" t="s">
        <v>25</v>
      </c>
      <c r="C1241" s="4">
        <v>264.14</v>
      </c>
    </row>
    <row r="1242" spans="1:3" s="1" customFormat="1" ht="19.75" customHeight="1" x14ac:dyDescent="0.25">
      <c r="A1242" s="7">
        <f>2012</f>
        <v>2012</v>
      </c>
      <c r="B1242" s="2" t="s">
        <v>26</v>
      </c>
      <c r="C1242" s="3">
        <v>223.99</v>
      </c>
    </row>
    <row r="1243" spans="1:3" s="1" customFormat="1" ht="19.75" customHeight="1" x14ac:dyDescent="0.25">
      <c r="A1243" s="7">
        <f>2012</f>
        <v>2012</v>
      </c>
      <c r="B1243" s="2" t="s">
        <v>27</v>
      </c>
      <c r="C1243" s="4">
        <v>569.95000000000005</v>
      </c>
    </row>
    <row r="1244" spans="1:3" s="1" customFormat="1" ht="19.75" customHeight="1" x14ac:dyDescent="0.25">
      <c r="A1244" s="7">
        <f>2012</f>
        <v>2012</v>
      </c>
      <c r="B1244" s="2" t="s">
        <v>107</v>
      </c>
      <c r="C1244" s="3">
        <v>128.41</v>
      </c>
    </row>
    <row r="1245" spans="1:3" s="1" customFormat="1" ht="19.75" customHeight="1" x14ac:dyDescent="0.25">
      <c r="A1245" s="7">
        <f>2012</f>
        <v>2012</v>
      </c>
      <c r="B1245" s="2" t="s">
        <v>28</v>
      </c>
      <c r="C1245" s="4">
        <v>29.71</v>
      </c>
    </row>
    <row r="1246" spans="1:3" s="1" customFormat="1" ht="19.75" customHeight="1" x14ac:dyDescent="0.25">
      <c r="A1246" s="7">
        <f>2012</f>
        <v>2012</v>
      </c>
      <c r="B1246" s="2" t="s">
        <v>29</v>
      </c>
      <c r="C1246" s="3">
        <v>49.1</v>
      </c>
    </row>
    <row r="1247" spans="1:3" s="1" customFormat="1" ht="19.75" customHeight="1" x14ac:dyDescent="0.25">
      <c r="A1247" s="7">
        <f>2012</f>
        <v>2012</v>
      </c>
      <c r="B1247" s="2" t="s">
        <v>30</v>
      </c>
      <c r="C1247" s="4">
        <v>249.86</v>
      </c>
    </row>
    <row r="1248" spans="1:3" s="1" customFormat="1" ht="19.75" customHeight="1" x14ac:dyDescent="0.25">
      <c r="A1248" s="7">
        <f>2012</f>
        <v>2012</v>
      </c>
      <c r="B1248" s="2" t="s">
        <v>31</v>
      </c>
      <c r="C1248" s="3">
        <v>219.52</v>
      </c>
    </row>
    <row r="1249" spans="1:3" s="1" customFormat="1" ht="19.75" customHeight="1" x14ac:dyDescent="0.25">
      <c r="A1249" s="7">
        <f>2012</f>
        <v>2012</v>
      </c>
      <c r="B1249" s="2" t="s">
        <v>32</v>
      </c>
      <c r="C1249" s="4">
        <v>563.22479999999996</v>
      </c>
    </row>
    <row r="1250" spans="1:3" s="1" customFormat="1" ht="19.75" customHeight="1" x14ac:dyDescent="0.25">
      <c r="A1250" s="7">
        <f>2012</f>
        <v>2012</v>
      </c>
      <c r="B1250" s="2" t="s">
        <v>17</v>
      </c>
      <c r="C1250" s="3">
        <v>17.82</v>
      </c>
    </row>
    <row r="1251" spans="1:3" s="1" customFormat="1" ht="19.75" customHeight="1" x14ac:dyDescent="0.25">
      <c r="A1251" s="7">
        <f>2012</f>
        <v>2012</v>
      </c>
      <c r="B1251" s="2" t="s">
        <v>93</v>
      </c>
      <c r="C1251" s="4">
        <v>5.65</v>
      </c>
    </row>
    <row r="1252" spans="1:3" s="1" customFormat="1" ht="19.75" customHeight="1" x14ac:dyDescent="0.25">
      <c r="A1252" s="7">
        <f>2012</f>
        <v>2012</v>
      </c>
      <c r="B1252" s="2" t="s">
        <v>98</v>
      </c>
      <c r="C1252" s="3">
        <v>6.5239000000000003</v>
      </c>
    </row>
    <row r="1253" spans="1:3" s="1" customFormat="1" ht="19.75" customHeight="1" x14ac:dyDescent="0.25">
      <c r="A1253" s="7">
        <f>2012</f>
        <v>2012</v>
      </c>
      <c r="B1253" s="2" t="s">
        <v>34</v>
      </c>
      <c r="C1253" s="4">
        <v>15.7601</v>
      </c>
    </row>
    <row r="1254" spans="1:3" s="1" customFormat="1" ht="19.75" customHeight="1" x14ac:dyDescent="0.25">
      <c r="A1254" s="7">
        <f>2012</f>
        <v>2012</v>
      </c>
      <c r="B1254" s="2" t="s">
        <v>35</v>
      </c>
      <c r="C1254" s="3">
        <v>12.846</v>
      </c>
    </row>
    <row r="1255" spans="1:3" s="1" customFormat="1" ht="19.75" customHeight="1" x14ac:dyDescent="0.25">
      <c r="A1255" s="7">
        <f>2012</f>
        <v>2012</v>
      </c>
      <c r="B1255" s="2" t="s">
        <v>36</v>
      </c>
      <c r="C1255" s="4">
        <v>266.15570000000002</v>
      </c>
    </row>
    <row r="1256" spans="1:3" s="1" customFormat="1" ht="19.75" customHeight="1" x14ac:dyDescent="0.25">
      <c r="A1256" s="7">
        <f>2012</f>
        <v>2012</v>
      </c>
      <c r="B1256" s="2" t="s">
        <v>37</v>
      </c>
      <c r="C1256" s="3">
        <v>18.46</v>
      </c>
    </row>
    <row r="1257" spans="1:3" s="1" customFormat="1" ht="19.75" customHeight="1" x14ac:dyDescent="0.25">
      <c r="A1257" s="7">
        <f>2012</f>
        <v>2012</v>
      </c>
      <c r="B1257" s="2" t="s">
        <v>38</v>
      </c>
      <c r="C1257" s="4">
        <v>6.55</v>
      </c>
    </row>
    <row r="1258" spans="1:3" s="1" customFormat="1" ht="19.75" customHeight="1" x14ac:dyDescent="0.25">
      <c r="A1258" s="7">
        <f>2012</f>
        <v>2012</v>
      </c>
      <c r="B1258" s="2" t="s">
        <v>40</v>
      </c>
      <c r="C1258" s="3">
        <v>190.83</v>
      </c>
    </row>
    <row r="1259" spans="1:3" s="1" customFormat="1" ht="19.75" customHeight="1" x14ac:dyDescent="0.25">
      <c r="A1259" s="7">
        <f>2012</f>
        <v>2012</v>
      </c>
      <c r="B1259" s="2" t="s">
        <v>41</v>
      </c>
      <c r="C1259" s="4">
        <v>143.6491</v>
      </c>
    </row>
    <row r="1260" spans="1:3" s="1" customFormat="1" ht="19.75" customHeight="1" x14ac:dyDescent="0.25">
      <c r="A1260" s="7">
        <f>2012</f>
        <v>2012</v>
      </c>
      <c r="B1260" s="2" t="s">
        <v>42</v>
      </c>
      <c r="C1260" s="3">
        <v>72.2</v>
      </c>
    </row>
    <row r="1261" spans="1:3" s="1" customFormat="1" ht="19.75" customHeight="1" x14ac:dyDescent="0.25">
      <c r="A1261" s="7">
        <f>2012</f>
        <v>2012</v>
      </c>
      <c r="B1261" s="2" t="s">
        <v>43</v>
      </c>
      <c r="C1261" s="4">
        <v>1549.99</v>
      </c>
    </row>
    <row r="1262" spans="1:3" s="1" customFormat="1" ht="19.75" customHeight="1" x14ac:dyDescent="0.25">
      <c r="A1262" s="7">
        <f>2012</f>
        <v>2012</v>
      </c>
      <c r="B1262" s="2" t="s">
        <v>119</v>
      </c>
      <c r="C1262" s="3">
        <v>0.24709999999999999</v>
      </c>
    </row>
    <row r="1263" spans="1:3" s="1" customFormat="1" ht="19.75" customHeight="1" x14ac:dyDescent="0.25">
      <c r="A1263" s="7">
        <f>2012</f>
        <v>2012</v>
      </c>
      <c r="B1263" s="2" t="s">
        <v>44</v>
      </c>
      <c r="C1263" s="4">
        <v>10.8993</v>
      </c>
    </row>
    <row r="1264" spans="1:3" s="1" customFormat="1" ht="19.75" customHeight="1" x14ac:dyDescent="0.25">
      <c r="A1264" s="7">
        <f>2012</f>
        <v>2012</v>
      </c>
      <c r="B1264" s="2" t="s">
        <v>45</v>
      </c>
      <c r="C1264" s="3">
        <v>84.12</v>
      </c>
    </row>
    <row r="1265" spans="1:3" s="1" customFormat="1" ht="19.75" customHeight="1" x14ac:dyDescent="0.25">
      <c r="A1265" s="7">
        <f>2012</f>
        <v>2012</v>
      </c>
      <c r="B1265" s="2" t="s">
        <v>94</v>
      </c>
      <c r="C1265" s="4">
        <v>71.727099999999993</v>
      </c>
    </row>
    <row r="1266" spans="1:3" s="1" customFormat="1" ht="19.75" customHeight="1" x14ac:dyDescent="0.25">
      <c r="A1266" s="7">
        <f>2012</f>
        <v>2012</v>
      </c>
      <c r="B1266" s="2" t="s">
        <v>46</v>
      </c>
      <c r="C1266" s="3">
        <v>12.69</v>
      </c>
    </row>
    <row r="1267" spans="1:3" s="1" customFormat="1" ht="19.75" customHeight="1" x14ac:dyDescent="0.25">
      <c r="A1267" s="7">
        <f>2012</f>
        <v>2012</v>
      </c>
      <c r="B1267" s="2" t="s">
        <v>47</v>
      </c>
      <c r="C1267" s="4">
        <v>315.5831</v>
      </c>
    </row>
    <row r="1268" spans="1:3" s="1" customFormat="1" ht="19.75" customHeight="1" x14ac:dyDescent="0.25">
      <c r="A1268" s="7">
        <f>2012</f>
        <v>2012</v>
      </c>
      <c r="B1268" s="2" t="s">
        <v>48</v>
      </c>
      <c r="C1268" s="3">
        <v>682.85569999999996</v>
      </c>
    </row>
    <row r="1269" spans="1:3" s="1" customFormat="1" ht="19.75" customHeight="1" x14ac:dyDescent="0.25">
      <c r="A1269" s="7">
        <f>2012</f>
        <v>2012</v>
      </c>
      <c r="B1269" s="2" t="s">
        <v>52</v>
      </c>
      <c r="C1269" s="4">
        <v>-2.6844999999999999</v>
      </c>
    </row>
    <row r="1270" spans="1:3" s="1" customFormat="1" ht="19.75" customHeight="1" x14ac:dyDescent="0.25">
      <c r="A1270" s="7">
        <f>2012</f>
        <v>2012</v>
      </c>
      <c r="B1270" s="2" t="s">
        <v>99</v>
      </c>
      <c r="C1270" s="3">
        <v>1540.5572999999999</v>
      </c>
    </row>
    <row r="1271" spans="1:3" s="1" customFormat="1" ht="19.75" customHeight="1" x14ac:dyDescent="0.25">
      <c r="A1271" s="7">
        <f>2012</f>
        <v>2012</v>
      </c>
      <c r="B1271" s="2" t="s">
        <v>122</v>
      </c>
      <c r="C1271" s="4">
        <v>6.3281999999999998</v>
      </c>
    </row>
    <row r="1272" spans="1:3" s="1" customFormat="1" ht="19.75" customHeight="1" x14ac:dyDescent="0.25">
      <c r="A1272" s="7">
        <f>2012</f>
        <v>2012</v>
      </c>
      <c r="B1272" s="2" t="s">
        <v>53</v>
      </c>
      <c r="C1272" s="3">
        <v>7.7050999999999998</v>
      </c>
    </row>
    <row r="1273" spans="1:3" s="1" customFormat="1" ht="19.75" customHeight="1" x14ac:dyDescent="0.25">
      <c r="A1273" s="7">
        <f>2012</f>
        <v>2012</v>
      </c>
      <c r="B1273" s="2" t="s">
        <v>55</v>
      </c>
      <c r="C1273" s="4">
        <v>390.08819999999997</v>
      </c>
    </row>
    <row r="1274" spans="1:3" s="1" customFormat="1" ht="19.75" customHeight="1" x14ac:dyDescent="0.25">
      <c r="A1274" s="7">
        <f>2012</f>
        <v>2012</v>
      </c>
      <c r="B1274" s="2" t="s">
        <v>56</v>
      </c>
      <c r="C1274" s="3">
        <v>1.94</v>
      </c>
    </row>
    <row r="1275" spans="1:3" s="1" customFormat="1" ht="19.75" customHeight="1" x14ac:dyDescent="0.25">
      <c r="A1275" s="7">
        <f>2012</f>
        <v>2012</v>
      </c>
      <c r="B1275" s="2" t="s">
        <v>123</v>
      </c>
      <c r="C1275" s="4">
        <v>13.942600000000001</v>
      </c>
    </row>
    <row r="1276" spans="1:3" s="1" customFormat="1" ht="19.75" customHeight="1" x14ac:dyDescent="0.25">
      <c r="A1276" s="7">
        <f>2012</f>
        <v>2012</v>
      </c>
      <c r="B1276" s="2" t="s">
        <v>95</v>
      </c>
      <c r="C1276" s="3">
        <v>3.0409000000000002</v>
      </c>
    </row>
    <row r="1277" spans="1:3" s="1" customFormat="1" ht="19.75" customHeight="1" x14ac:dyDescent="0.25">
      <c r="A1277" s="7">
        <f>2012</f>
        <v>2012</v>
      </c>
      <c r="B1277" s="2" t="s">
        <v>59</v>
      </c>
      <c r="C1277" s="4">
        <v>6.1787999999999998</v>
      </c>
    </row>
    <row r="1278" spans="1:3" s="1" customFormat="1" ht="19.75" customHeight="1" x14ac:dyDescent="0.25">
      <c r="A1278" s="7">
        <f>2012</f>
        <v>2012</v>
      </c>
      <c r="B1278" s="2" t="s">
        <v>60</v>
      </c>
      <c r="C1278" s="3">
        <v>135.489</v>
      </c>
    </row>
    <row r="1279" spans="1:3" s="1" customFormat="1" ht="19.75" customHeight="1" x14ac:dyDescent="0.25">
      <c r="A1279" s="7">
        <f>2012</f>
        <v>2012</v>
      </c>
      <c r="B1279" s="2" t="s">
        <v>61</v>
      </c>
      <c r="C1279" s="4">
        <v>252.31</v>
      </c>
    </row>
    <row r="1280" spans="1:3" s="1" customFormat="1" ht="19.75" customHeight="1" x14ac:dyDescent="0.25">
      <c r="A1280" s="7">
        <f>2012</f>
        <v>2012</v>
      </c>
      <c r="B1280" s="2" t="s">
        <v>111</v>
      </c>
      <c r="C1280" s="5" t="s">
        <v>77</v>
      </c>
    </row>
    <row r="1281" spans="1:3" s="1" customFormat="1" ht="19.75" customHeight="1" x14ac:dyDescent="0.25">
      <c r="A1281" s="7">
        <f>2012</f>
        <v>2012</v>
      </c>
      <c r="B1281" s="2" t="s">
        <v>64</v>
      </c>
      <c r="C1281" s="4">
        <v>0.1</v>
      </c>
    </row>
    <row r="1282" spans="1:3" s="1" customFormat="1" ht="19.75" customHeight="1" x14ac:dyDescent="0.25">
      <c r="A1282" s="7">
        <f>2012</f>
        <v>2012</v>
      </c>
      <c r="B1282" s="2" t="s">
        <v>66</v>
      </c>
      <c r="C1282" s="5" t="s">
        <v>77</v>
      </c>
    </row>
    <row r="1283" spans="1:3" s="1" customFormat="1" ht="19.75" customHeight="1" x14ac:dyDescent="0.25">
      <c r="A1283" s="7">
        <f>2012</f>
        <v>2012</v>
      </c>
      <c r="B1283" s="2" t="s">
        <v>67</v>
      </c>
      <c r="C1283" s="4">
        <v>23.61</v>
      </c>
    </row>
    <row r="1284" spans="1:3" s="1" customFormat="1" ht="19.75" customHeight="1" x14ac:dyDescent="0.25">
      <c r="A1284" s="7">
        <f>2012</f>
        <v>2012</v>
      </c>
      <c r="B1284" s="2" t="s">
        <v>68</v>
      </c>
      <c r="C1284" s="3">
        <v>32.653700000000001</v>
      </c>
    </row>
    <row r="1285" spans="1:3" s="1" customFormat="1" ht="19.75" customHeight="1" x14ac:dyDescent="0.25">
      <c r="A1285" s="7">
        <f>2012</f>
        <v>2012</v>
      </c>
      <c r="B1285" s="2" t="s">
        <v>69</v>
      </c>
      <c r="C1285" s="4">
        <v>20.948899999999998</v>
      </c>
    </row>
    <row r="1286" spans="1:3" s="1" customFormat="1" ht="19.75" customHeight="1" x14ac:dyDescent="0.25">
      <c r="A1286" s="7">
        <f>2012</f>
        <v>2012</v>
      </c>
      <c r="B1286" s="2" t="s">
        <v>96</v>
      </c>
      <c r="C1286" s="3">
        <v>1.4479</v>
      </c>
    </row>
    <row r="1287" spans="1:3" s="1" customFormat="1" ht="19.75" customHeight="1" x14ac:dyDescent="0.25">
      <c r="A1287" s="7">
        <f>2012</f>
        <v>2012</v>
      </c>
      <c r="B1287" s="2" t="s">
        <v>71</v>
      </c>
      <c r="C1287" s="4">
        <v>2764.5003999999999</v>
      </c>
    </row>
    <row r="1288" spans="1:3" s="1" customFormat="1" ht="19.75" customHeight="1" x14ac:dyDescent="0.25">
      <c r="A1288" s="7">
        <f>2012</f>
        <v>2012</v>
      </c>
      <c r="B1288" s="2" t="s">
        <v>74</v>
      </c>
      <c r="C1288" s="3">
        <v>30.025500000000001</v>
      </c>
    </row>
    <row r="1289" spans="1:3" s="1" customFormat="1" ht="19.75" customHeight="1" x14ac:dyDescent="0.25">
      <c r="A1289" s="7">
        <f>2012</f>
        <v>2012</v>
      </c>
      <c r="B1289" s="2" t="s">
        <v>75</v>
      </c>
      <c r="C1289" s="4">
        <v>0.48349999999999999</v>
      </c>
    </row>
    <row r="1290" spans="1:3" s="1" customFormat="1" ht="19.75" customHeight="1" x14ac:dyDescent="0.25">
      <c r="A1290" s="7">
        <f>2012</f>
        <v>2012</v>
      </c>
      <c r="B1290" s="2" t="s">
        <v>76</v>
      </c>
      <c r="C1290" s="3">
        <v>0.68</v>
      </c>
    </row>
    <row r="1291" spans="1:3" s="1" customFormat="1" ht="19.75" customHeight="1" x14ac:dyDescent="0.25">
      <c r="A1291" s="7">
        <f>2012</f>
        <v>2012</v>
      </c>
      <c r="B1291" s="2" t="s">
        <v>100</v>
      </c>
      <c r="C1291" s="4">
        <v>359.77109999999999</v>
      </c>
    </row>
    <row r="1292" spans="1:3" s="1" customFormat="1" ht="19.75" customHeight="1" x14ac:dyDescent="0.25">
      <c r="A1292" s="7">
        <f>2011</f>
        <v>2011</v>
      </c>
      <c r="B1292" s="2" t="s">
        <v>113</v>
      </c>
      <c r="C1292" s="3">
        <v>589.37</v>
      </c>
    </row>
    <row r="1293" spans="1:3" s="1" customFormat="1" ht="19.75" customHeight="1" x14ac:dyDescent="0.25">
      <c r="A1293" s="7">
        <f>2011</f>
        <v>2011</v>
      </c>
      <c r="B1293" s="2" t="s">
        <v>114</v>
      </c>
      <c r="C1293" s="4">
        <v>1153.23</v>
      </c>
    </row>
    <row r="1294" spans="1:3" s="1" customFormat="1" ht="19.75" customHeight="1" x14ac:dyDescent="0.25">
      <c r="A1294" s="7">
        <f>2011</f>
        <v>2011</v>
      </c>
      <c r="B1294" s="2" t="s">
        <v>9</v>
      </c>
      <c r="C1294" s="3">
        <v>17071.05</v>
      </c>
    </row>
    <row r="1295" spans="1:3" s="1" customFormat="1" ht="19.75" customHeight="1" x14ac:dyDescent="0.25">
      <c r="A1295" s="7">
        <f>2011</f>
        <v>2011</v>
      </c>
      <c r="B1295" s="2" t="s">
        <v>115</v>
      </c>
      <c r="C1295" s="4">
        <v>673.13</v>
      </c>
    </row>
    <row r="1296" spans="1:3" s="1" customFormat="1" ht="19.75" customHeight="1" x14ac:dyDescent="0.25">
      <c r="A1296" s="7">
        <f>2011</f>
        <v>2011</v>
      </c>
      <c r="B1296" s="2" t="s">
        <v>116</v>
      </c>
      <c r="C1296" s="3">
        <v>1106.29</v>
      </c>
    </row>
    <row r="1297" spans="1:3" s="1" customFormat="1" ht="19.75" customHeight="1" x14ac:dyDescent="0.25">
      <c r="A1297" s="7">
        <f>2011</f>
        <v>2011</v>
      </c>
      <c r="B1297" s="2" t="s">
        <v>117</v>
      </c>
      <c r="C1297" s="4">
        <v>448.24</v>
      </c>
    </row>
    <row r="1298" spans="1:3" s="1" customFormat="1" ht="19.75" customHeight="1" x14ac:dyDescent="0.25">
      <c r="A1298" s="7">
        <f>2011</f>
        <v>2011</v>
      </c>
      <c r="B1298" s="2" t="s">
        <v>101</v>
      </c>
      <c r="C1298" s="3">
        <v>1631.47</v>
      </c>
    </row>
    <row r="1299" spans="1:3" s="1" customFormat="1" ht="19.75" customHeight="1" x14ac:dyDescent="0.25">
      <c r="A1299" s="7">
        <f>2011</f>
        <v>2011</v>
      </c>
      <c r="B1299" s="2" t="s">
        <v>102</v>
      </c>
      <c r="C1299" s="4">
        <v>1146</v>
      </c>
    </row>
    <row r="1300" spans="1:3" s="1" customFormat="1" ht="19.75" customHeight="1" x14ac:dyDescent="0.25">
      <c r="A1300" s="7">
        <f>2011</f>
        <v>2011</v>
      </c>
      <c r="B1300" s="2" t="s">
        <v>0</v>
      </c>
      <c r="C1300" s="3">
        <v>2739.92</v>
      </c>
    </row>
    <row r="1301" spans="1:3" s="1" customFormat="1" ht="19.75" customHeight="1" x14ac:dyDescent="0.25">
      <c r="A1301" s="7">
        <f>2011</f>
        <v>2011</v>
      </c>
      <c r="B1301" s="2" t="s">
        <v>1</v>
      </c>
      <c r="C1301" s="4">
        <v>2895.52</v>
      </c>
    </row>
    <row r="1302" spans="1:3" s="1" customFormat="1" ht="19.75" customHeight="1" x14ac:dyDescent="0.25">
      <c r="A1302" s="7">
        <f>2011</f>
        <v>2011</v>
      </c>
      <c r="B1302" s="2" t="s">
        <v>2</v>
      </c>
      <c r="C1302" s="3">
        <v>524.64</v>
      </c>
    </row>
    <row r="1303" spans="1:3" s="1" customFormat="1" ht="19.75" customHeight="1" x14ac:dyDescent="0.25">
      <c r="A1303" s="7">
        <f>2011</f>
        <v>2011</v>
      </c>
      <c r="B1303" s="2" t="s">
        <v>3</v>
      </c>
      <c r="C1303" s="4">
        <v>2065.59</v>
      </c>
    </row>
    <row r="1304" spans="1:3" s="1" customFormat="1" ht="19.75" customHeight="1" x14ac:dyDescent="0.25">
      <c r="A1304" s="7">
        <f>2011</f>
        <v>2011</v>
      </c>
      <c r="B1304" s="2" t="s">
        <v>4</v>
      </c>
      <c r="C1304" s="3">
        <v>1339</v>
      </c>
    </row>
    <row r="1305" spans="1:3" s="1" customFormat="1" ht="19.75" customHeight="1" x14ac:dyDescent="0.25">
      <c r="A1305" s="7">
        <f>2011</f>
        <v>2011</v>
      </c>
      <c r="B1305" s="2" t="s">
        <v>103</v>
      </c>
      <c r="C1305" s="4">
        <v>1140.6400000000001</v>
      </c>
    </row>
    <row r="1306" spans="1:3" s="1" customFormat="1" ht="19.75" customHeight="1" x14ac:dyDescent="0.25">
      <c r="A1306" s="7">
        <f>2011</f>
        <v>2011</v>
      </c>
      <c r="B1306" s="2" t="s">
        <v>109</v>
      </c>
      <c r="C1306" s="3">
        <v>616.94000000000005</v>
      </c>
    </row>
    <row r="1307" spans="1:3" s="1" customFormat="1" ht="19.75" customHeight="1" x14ac:dyDescent="0.25">
      <c r="A1307" s="7">
        <f>2011</f>
        <v>2011</v>
      </c>
      <c r="B1307" s="2" t="s">
        <v>5</v>
      </c>
      <c r="C1307" s="4">
        <v>1577.61</v>
      </c>
    </row>
    <row r="1308" spans="1:3" s="1" customFormat="1" ht="19.75" customHeight="1" x14ac:dyDescent="0.25">
      <c r="A1308" s="7">
        <f>2011</f>
        <v>2011</v>
      </c>
      <c r="B1308" s="2" t="s">
        <v>6</v>
      </c>
      <c r="C1308" s="3">
        <v>1788.09</v>
      </c>
    </row>
    <row r="1309" spans="1:3" s="1" customFormat="1" ht="19.75" customHeight="1" x14ac:dyDescent="0.25">
      <c r="A1309" s="7">
        <f>2011</f>
        <v>2011</v>
      </c>
      <c r="B1309" s="2" t="s">
        <v>104</v>
      </c>
      <c r="C1309" s="4">
        <v>1742.27</v>
      </c>
    </row>
    <row r="1310" spans="1:3" s="1" customFormat="1" ht="19.75" customHeight="1" x14ac:dyDescent="0.25">
      <c r="A1310" s="7">
        <f>2011</f>
        <v>2011</v>
      </c>
      <c r="B1310" s="2" t="s">
        <v>7</v>
      </c>
      <c r="C1310" s="3">
        <v>487.33</v>
      </c>
    </row>
    <row r="1311" spans="1:3" s="1" customFormat="1" ht="19.75" customHeight="1" x14ac:dyDescent="0.25">
      <c r="A1311" s="7">
        <f>2011</f>
        <v>2011</v>
      </c>
      <c r="B1311" s="2" t="s">
        <v>8</v>
      </c>
      <c r="C1311" s="4">
        <v>4622.2</v>
      </c>
    </row>
    <row r="1312" spans="1:3" s="1" customFormat="1" ht="19.75" customHeight="1" x14ac:dyDescent="0.25">
      <c r="A1312" s="7">
        <f>2011</f>
        <v>2011</v>
      </c>
      <c r="B1312" s="2" t="s">
        <v>105</v>
      </c>
      <c r="C1312" s="3">
        <v>1701.83</v>
      </c>
    </row>
    <row r="1313" spans="1:3" s="1" customFormat="1" ht="19.75" customHeight="1" x14ac:dyDescent="0.25">
      <c r="A1313" s="7">
        <f>2011</f>
        <v>2011</v>
      </c>
      <c r="B1313" s="2" t="s">
        <v>10</v>
      </c>
      <c r="C1313" s="4">
        <v>1788.43</v>
      </c>
    </row>
    <row r="1314" spans="1:3" s="1" customFormat="1" ht="19.75" customHeight="1" x14ac:dyDescent="0.25">
      <c r="A1314" s="7">
        <f>2011</f>
        <v>2011</v>
      </c>
      <c r="B1314" s="2" t="s">
        <v>11</v>
      </c>
      <c r="C1314" s="3">
        <v>2223.04</v>
      </c>
    </row>
    <row r="1315" spans="1:3" s="1" customFormat="1" ht="19.75" customHeight="1" x14ac:dyDescent="0.25">
      <c r="A1315" s="7">
        <f>2011</f>
        <v>2011</v>
      </c>
      <c r="B1315" s="2" t="s">
        <v>106</v>
      </c>
      <c r="C1315" s="4">
        <v>983.02</v>
      </c>
    </row>
    <row r="1316" spans="1:3" s="1" customFormat="1" ht="19.75" customHeight="1" x14ac:dyDescent="0.25">
      <c r="A1316" s="7">
        <f>2011</f>
        <v>2011</v>
      </c>
      <c r="B1316" s="2" t="s">
        <v>110</v>
      </c>
      <c r="C1316" s="3">
        <v>522.86</v>
      </c>
    </row>
    <row r="1317" spans="1:3" s="1" customFormat="1" ht="19.75" customHeight="1" x14ac:dyDescent="0.25">
      <c r="A1317" s="7">
        <f>2011</f>
        <v>2011</v>
      </c>
      <c r="B1317" s="2" t="s">
        <v>21</v>
      </c>
      <c r="C1317" s="4">
        <v>2507.5300000000002</v>
      </c>
    </row>
    <row r="1318" spans="1:3" s="1" customFormat="1" ht="19.75" customHeight="1" x14ac:dyDescent="0.25">
      <c r="A1318" s="7">
        <f>2011</f>
        <v>2011</v>
      </c>
      <c r="B1318" s="2" t="s">
        <v>12</v>
      </c>
      <c r="C1318" s="3">
        <v>3027.2</v>
      </c>
    </row>
    <row r="1319" spans="1:3" s="1" customFormat="1" ht="19.75" customHeight="1" x14ac:dyDescent="0.25">
      <c r="A1319" s="7">
        <f>2011</f>
        <v>2011</v>
      </c>
      <c r="B1319" s="2" t="s">
        <v>14</v>
      </c>
      <c r="C1319" s="4">
        <v>145.97999999999999</v>
      </c>
    </row>
    <row r="1320" spans="1:3" s="1" customFormat="1" ht="19.75" customHeight="1" x14ac:dyDescent="0.25">
      <c r="A1320" s="7">
        <f>2011</f>
        <v>2011</v>
      </c>
      <c r="B1320" s="2" t="s">
        <v>15</v>
      </c>
      <c r="C1320" s="3">
        <v>21.44</v>
      </c>
    </row>
    <row r="1321" spans="1:3" s="1" customFormat="1" ht="19.75" customHeight="1" x14ac:dyDescent="0.25">
      <c r="A1321" s="7">
        <f>2011</f>
        <v>2011</v>
      </c>
      <c r="B1321" s="2" t="s">
        <v>16</v>
      </c>
      <c r="C1321" s="4">
        <v>64.63</v>
      </c>
    </row>
    <row r="1322" spans="1:3" s="1" customFormat="1" ht="19.75" customHeight="1" x14ac:dyDescent="0.25">
      <c r="A1322" s="7">
        <f>2011</f>
        <v>2011</v>
      </c>
      <c r="B1322" s="2" t="s">
        <v>18</v>
      </c>
      <c r="C1322" s="3">
        <v>840.17</v>
      </c>
    </row>
    <row r="1323" spans="1:3" s="1" customFormat="1" ht="19.75" customHeight="1" x14ac:dyDescent="0.25">
      <c r="A1323" s="7">
        <f>2011</f>
        <v>2011</v>
      </c>
      <c r="B1323" s="2" t="s">
        <v>19</v>
      </c>
      <c r="C1323" s="4">
        <v>3798.97</v>
      </c>
    </row>
    <row r="1324" spans="1:3" s="1" customFormat="1" ht="19.75" customHeight="1" x14ac:dyDescent="0.25">
      <c r="A1324" s="7">
        <f>2011</f>
        <v>2011</v>
      </c>
      <c r="B1324" s="2" t="s">
        <v>20</v>
      </c>
      <c r="C1324" s="3">
        <v>3896.17</v>
      </c>
    </row>
    <row r="1325" spans="1:3" s="1" customFormat="1" ht="19.75" customHeight="1" x14ac:dyDescent="0.25">
      <c r="A1325" s="7">
        <f>2011</f>
        <v>2011</v>
      </c>
      <c r="B1325" s="2" t="s">
        <v>23</v>
      </c>
      <c r="C1325" s="4">
        <v>504.35</v>
      </c>
    </row>
    <row r="1326" spans="1:3" s="1" customFormat="1" ht="19.75" customHeight="1" x14ac:dyDescent="0.25">
      <c r="A1326" s="7">
        <f>2011</f>
        <v>2011</v>
      </c>
      <c r="B1326" s="2" t="s">
        <v>121</v>
      </c>
      <c r="C1326" s="3">
        <v>316.81700000000001</v>
      </c>
    </row>
    <row r="1327" spans="1:3" s="1" customFormat="1" ht="19.75" customHeight="1" x14ac:dyDescent="0.25">
      <c r="A1327" s="7">
        <f>2011</f>
        <v>2011</v>
      </c>
      <c r="B1327" s="2" t="s">
        <v>24</v>
      </c>
      <c r="C1327" s="4">
        <v>534.28</v>
      </c>
    </row>
    <row r="1328" spans="1:3" s="1" customFormat="1" ht="19.75" customHeight="1" x14ac:dyDescent="0.25">
      <c r="A1328" s="7">
        <f>2011</f>
        <v>2011</v>
      </c>
      <c r="B1328" s="2" t="s">
        <v>25</v>
      </c>
      <c r="C1328" s="3">
        <v>150.68</v>
      </c>
    </row>
    <row r="1329" spans="1:3" s="1" customFormat="1" ht="19.75" customHeight="1" x14ac:dyDescent="0.25">
      <c r="A1329" s="7">
        <f>2011</f>
        <v>2011</v>
      </c>
      <c r="B1329" s="2" t="s">
        <v>26</v>
      </c>
      <c r="C1329" s="4">
        <v>184.99</v>
      </c>
    </row>
    <row r="1330" spans="1:3" s="1" customFormat="1" ht="19.75" customHeight="1" x14ac:dyDescent="0.25">
      <c r="A1330" s="7">
        <f>2011</f>
        <v>2011</v>
      </c>
      <c r="B1330" s="2" t="s">
        <v>27</v>
      </c>
      <c r="C1330" s="3">
        <v>506.61</v>
      </c>
    </row>
    <row r="1331" spans="1:3" s="1" customFormat="1" ht="19.75" customHeight="1" x14ac:dyDescent="0.25">
      <c r="A1331" s="7">
        <f>2011</f>
        <v>2011</v>
      </c>
      <c r="B1331" s="2" t="s">
        <v>107</v>
      </c>
      <c r="C1331" s="4">
        <v>172.72</v>
      </c>
    </row>
    <row r="1332" spans="1:3" s="1" customFormat="1" ht="19.75" customHeight="1" x14ac:dyDescent="0.25">
      <c r="A1332" s="7">
        <f>2011</f>
        <v>2011</v>
      </c>
      <c r="B1332" s="2" t="s">
        <v>28</v>
      </c>
      <c r="C1332" s="3">
        <v>25.75</v>
      </c>
    </row>
    <row r="1333" spans="1:3" s="1" customFormat="1" ht="19.75" customHeight="1" x14ac:dyDescent="0.25">
      <c r="A1333" s="7">
        <f>2011</f>
        <v>2011</v>
      </c>
      <c r="B1333" s="2" t="s">
        <v>29</v>
      </c>
      <c r="C1333" s="4">
        <v>6.93</v>
      </c>
    </row>
    <row r="1334" spans="1:3" s="1" customFormat="1" ht="19.75" customHeight="1" x14ac:dyDescent="0.25">
      <c r="A1334" s="7">
        <f>2011</f>
        <v>2011</v>
      </c>
      <c r="B1334" s="2" t="s">
        <v>124</v>
      </c>
      <c r="C1334" s="3">
        <v>1.0364</v>
      </c>
    </row>
    <row r="1335" spans="1:3" s="1" customFormat="1" ht="19.75" customHeight="1" x14ac:dyDescent="0.25">
      <c r="A1335" s="7">
        <f>2011</f>
        <v>2011</v>
      </c>
      <c r="B1335" s="2" t="s">
        <v>30</v>
      </c>
      <c r="C1335" s="4">
        <v>232.7</v>
      </c>
    </row>
    <row r="1336" spans="1:3" s="1" customFormat="1" ht="19.75" customHeight="1" x14ac:dyDescent="0.25">
      <c r="A1336" s="7">
        <f>2011</f>
        <v>2011</v>
      </c>
      <c r="B1336" s="2" t="s">
        <v>31</v>
      </c>
      <c r="C1336" s="3">
        <v>183.31</v>
      </c>
    </row>
    <row r="1337" spans="1:3" s="1" customFormat="1" ht="19.75" customHeight="1" x14ac:dyDescent="0.25">
      <c r="A1337" s="7">
        <f>2011</f>
        <v>2011</v>
      </c>
      <c r="B1337" s="2" t="s">
        <v>32</v>
      </c>
      <c r="C1337" s="4">
        <v>463.2527</v>
      </c>
    </row>
    <row r="1338" spans="1:3" s="1" customFormat="1" ht="19.75" customHeight="1" x14ac:dyDescent="0.25">
      <c r="A1338" s="7">
        <f>2011</f>
        <v>2011</v>
      </c>
      <c r="B1338" s="2" t="s">
        <v>17</v>
      </c>
      <c r="C1338" s="3">
        <v>41.37</v>
      </c>
    </row>
    <row r="1339" spans="1:3" s="1" customFormat="1" ht="19.75" customHeight="1" x14ac:dyDescent="0.25">
      <c r="A1339" s="7">
        <f>2011</f>
        <v>2011</v>
      </c>
      <c r="B1339" s="2" t="s">
        <v>93</v>
      </c>
      <c r="C1339" s="4">
        <v>5.9</v>
      </c>
    </row>
    <row r="1340" spans="1:3" s="1" customFormat="1" ht="19.75" customHeight="1" x14ac:dyDescent="0.25">
      <c r="A1340" s="7">
        <f>2011</f>
        <v>2011</v>
      </c>
      <c r="B1340" s="2" t="s">
        <v>98</v>
      </c>
      <c r="C1340" s="3">
        <v>-0.85650000000000004</v>
      </c>
    </row>
    <row r="1341" spans="1:3" s="1" customFormat="1" ht="19.75" customHeight="1" x14ac:dyDescent="0.25">
      <c r="A1341" s="7">
        <f>2011</f>
        <v>2011</v>
      </c>
      <c r="B1341" s="2" t="s">
        <v>34</v>
      </c>
      <c r="C1341" s="4">
        <v>-20.445599999999999</v>
      </c>
    </row>
    <row r="1342" spans="1:3" s="1" customFormat="1" ht="19.75" customHeight="1" x14ac:dyDescent="0.25">
      <c r="A1342" s="7">
        <f>2011</f>
        <v>2011</v>
      </c>
      <c r="B1342" s="2" t="s">
        <v>36</v>
      </c>
      <c r="C1342" s="3">
        <v>327.57319999999999</v>
      </c>
    </row>
    <row r="1343" spans="1:3" s="1" customFormat="1" ht="19.75" customHeight="1" x14ac:dyDescent="0.25">
      <c r="A1343" s="7">
        <f>2011</f>
        <v>2011</v>
      </c>
      <c r="B1343" s="2" t="s">
        <v>37</v>
      </c>
      <c r="C1343" s="4">
        <v>6.3</v>
      </c>
    </row>
    <row r="1344" spans="1:3" s="1" customFormat="1" ht="19.75" customHeight="1" x14ac:dyDescent="0.25">
      <c r="A1344" s="7">
        <f>2011</f>
        <v>2011</v>
      </c>
      <c r="B1344" s="2" t="s">
        <v>38</v>
      </c>
      <c r="C1344" s="3">
        <v>3.28</v>
      </c>
    </row>
    <row r="1345" spans="1:3" s="1" customFormat="1" ht="19.75" customHeight="1" x14ac:dyDescent="0.25">
      <c r="A1345" s="7">
        <f>2011</f>
        <v>2011</v>
      </c>
      <c r="B1345" s="2" t="s">
        <v>40</v>
      </c>
      <c r="C1345" s="4">
        <v>131.9179</v>
      </c>
    </row>
    <row r="1346" spans="1:3" s="1" customFormat="1" ht="19.75" customHeight="1" x14ac:dyDescent="0.25">
      <c r="A1346" s="7">
        <f>2011</f>
        <v>2011</v>
      </c>
      <c r="B1346" s="2" t="s">
        <v>41</v>
      </c>
      <c r="C1346" s="3">
        <v>443.565</v>
      </c>
    </row>
    <row r="1347" spans="1:3" s="1" customFormat="1" ht="19.75" customHeight="1" x14ac:dyDescent="0.25">
      <c r="A1347" s="7">
        <f>2011</f>
        <v>2011</v>
      </c>
      <c r="B1347" s="2" t="s">
        <v>42</v>
      </c>
      <c r="C1347" s="4">
        <v>189.75</v>
      </c>
    </row>
    <row r="1348" spans="1:3" s="1" customFormat="1" ht="19.75" customHeight="1" x14ac:dyDescent="0.25">
      <c r="A1348" s="7">
        <f>2011</f>
        <v>2011</v>
      </c>
      <c r="B1348" s="2" t="s">
        <v>43</v>
      </c>
      <c r="C1348" s="3">
        <v>1852.2285999999999</v>
      </c>
    </row>
    <row r="1349" spans="1:3" s="1" customFormat="1" ht="19.75" customHeight="1" x14ac:dyDescent="0.25">
      <c r="A1349" s="7">
        <f>2011</f>
        <v>2011</v>
      </c>
      <c r="B1349" s="2" t="s">
        <v>119</v>
      </c>
      <c r="C1349" s="4">
        <v>9.9000000000000005E-2</v>
      </c>
    </row>
    <row r="1350" spans="1:3" s="1" customFormat="1" ht="19.75" customHeight="1" x14ac:dyDescent="0.25">
      <c r="A1350" s="7">
        <f>2011</f>
        <v>2011</v>
      </c>
      <c r="B1350" s="2" t="s">
        <v>45</v>
      </c>
      <c r="C1350" s="3">
        <v>232.16</v>
      </c>
    </row>
    <row r="1351" spans="1:3" s="1" customFormat="1" ht="19.75" customHeight="1" x14ac:dyDescent="0.25">
      <c r="A1351" s="7">
        <f>2011</f>
        <v>2011</v>
      </c>
      <c r="B1351" s="2" t="s">
        <v>46</v>
      </c>
      <c r="C1351" s="4">
        <v>4.6900000000000004</v>
      </c>
    </row>
    <row r="1352" spans="1:3" s="1" customFormat="1" ht="19.75" customHeight="1" x14ac:dyDescent="0.25">
      <c r="A1352" s="7">
        <f>2011</f>
        <v>2011</v>
      </c>
      <c r="B1352" s="2" t="s">
        <v>47</v>
      </c>
      <c r="C1352" s="3">
        <v>171.40350000000001</v>
      </c>
    </row>
    <row r="1353" spans="1:3" s="1" customFormat="1" ht="19.75" customHeight="1" x14ac:dyDescent="0.25">
      <c r="A1353" s="7">
        <f>2011</f>
        <v>2011</v>
      </c>
      <c r="B1353" s="2" t="s">
        <v>48</v>
      </c>
      <c r="C1353" s="4">
        <v>645.43600000000004</v>
      </c>
    </row>
    <row r="1354" spans="1:3" s="1" customFormat="1" ht="19.75" customHeight="1" x14ac:dyDescent="0.25">
      <c r="A1354" s="7">
        <f>2011</f>
        <v>2011</v>
      </c>
      <c r="B1354" s="2" t="s">
        <v>52</v>
      </c>
      <c r="C1354" s="3">
        <v>0.39939999999999998</v>
      </c>
    </row>
    <row r="1355" spans="1:3" s="1" customFormat="1" ht="19.75" customHeight="1" x14ac:dyDescent="0.25">
      <c r="A1355" s="7">
        <f>2011</f>
        <v>2011</v>
      </c>
      <c r="B1355" s="2" t="s">
        <v>99</v>
      </c>
      <c r="C1355" s="4">
        <v>1405.9416000000001</v>
      </c>
    </row>
    <row r="1356" spans="1:3" s="1" customFormat="1" ht="19.75" customHeight="1" x14ac:dyDescent="0.25">
      <c r="A1356" s="7">
        <f>2011</f>
        <v>2011</v>
      </c>
      <c r="B1356" s="2" t="s">
        <v>122</v>
      </c>
      <c r="C1356" s="3">
        <v>0.26679999999999998</v>
      </c>
    </row>
    <row r="1357" spans="1:3" s="1" customFormat="1" ht="19.75" customHeight="1" x14ac:dyDescent="0.25">
      <c r="A1357" s="7">
        <f>2011</f>
        <v>2011</v>
      </c>
      <c r="B1357" s="2" t="s">
        <v>55</v>
      </c>
      <c r="C1357" s="4">
        <v>344.8845</v>
      </c>
    </row>
    <row r="1358" spans="1:3" s="1" customFormat="1" ht="19.75" customHeight="1" x14ac:dyDescent="0.25">
      <c r="A1358" s="7">
        <f>2011</f>
        <v>2011</v>
      </c>
      <c r="B1358" s="2" t="s">
        <v>56</v>
      </c>
      <c r="C1358" s="3">
        <v>-0.24</v>
      </c>
    </row>
    <row r="1359" spans="1:3" s="1" customFormat="1" ht="19.75" customHeight="1" x14ac:dyDescent="0.25">
      <c r="A1359" s="7">
        <f>2011</f>
        <v>2011</v>
      </c>
      <c r="B1359" s="2" t="s">
        <v>123</v>
      </c>
      <c r="C1359" s="4">
        <v>34.6402</v>
      </c>
    </row>
    <row r="1360" spans="1:3" s="1" customFormat="1" ht="19.75" customHeight="1" x14ac:dyDescent="0.25">
      <c r="A1360" s="7">
        <f>2011</f>
        <v>2011</v>
      </c>
      <c r="B1360" s="2" t="s">
        <v>95</v>
      </c>
      <c r="C1360" s="3">
        <v>1.954</v>
      </c>
    </row>
    <row r="1361" spans="1:3" s="1" customFormat="1" ht="19.75" customHeight="1" x14ac:dyDescent="0.25">
      <c r="A1361" s="7">
        <f>2011</f>
        <v>2011</v>
      </c>
      <c r="B1361" s="2" t="s">
        <v>59</v>
      </c>
      <c r="C1361" s="4">
        <v>5.8548999999999998</v>
      </c>
    </row>
    <row r="1362" spans="1:3" s="1" customFormat="1" ht="19.75" customHeight="1" x14ac:dyDescent="0.25">
      <c r="A1362" s="7">
        <f>2011</f>
        <v>2011</v>
      </c>
      <c r="B1362" s="2" t="s">
        <v>60</v>
      </c>
      <c r="C1362" s="3">
        <v>56.693800000000003</v>
      </c>
    </row>
    <row r="1363" spans="1:3" s="1" customFormat="1" ht="19.75" customHeight="1" x14ac:dyDescent="0.25">
      <c r="A1363" s="7">
        <f>2011</f>
        <v>2011</v>
      </c>
      <c r="B1363" s="2" t="s">
        <v>61</v>
      </c>
      <c r="C1363" s="4">
        <v>157.04</v>
      </c>
    </row>
    <row r="1364" spans="1:3" s="1" customFormat="1" ht="19.75" customHeight="1" x14ac:dyDescent="0.25">
      <c r="A1364" s="7">
        <f>2011</f>
        <v>2011</v>
      </c>
      <c r="B1364" s="2" t="s">
        <v>64</v>
      </c>
      <c r="C1364" s="3">
        <v>0.28000000000000003</v>
      </c>
    </row>
    <row r="1365" spans="1:3" s="1" customFormat="1" ht="19.75" customHeight="1" x14ac:dyDescent="0.25">
      <c r="A1365" s="7">
        <f>2011</f>
        <v>2011</v>
      </c>
      <c r="B1365" s="2" t="s">
        <v>67</v>
      </c>
      <c r="C1365" s="4">
        <v>9.61</v>
      </c>
    </row>
    <row r="1366" spans="1:3" s="1" customFormat="1" ht="19.75" customHeight="1" x14ac:dyDescent="0.25">
      <c r="A1366" s="7">
        <f>2011</f>
        <v>2011</v>
      </c>
      <c r="B1366" s="2" t="s">
        <v>68</v>
      </c>
      <c r="C1366" s="3">
        <v>28.695599999999999</v>
      </c>
    </row>
    <row r="1367" spans="1:3" s="1" customFormat="1" ht="19.75" customHeight="1" x14ac:dyDescent="0.25">
      <c r="A1367" s="7">
        <f>2011</f>
        <v>2011</v>
      </c>
      <c r="B1367" s="2" t="s">
        <v>69</v>
      </c>
      <c r="C1367" s="4">
        <v>29.664400000000001</v>
      </c>
    </row>
    <row r="1368" spans="1:3" s="1" customFormat="1" ht="19.75" customHeight="1" x14ac:dyDescent="0.25">
      <c r="A1368" s="7">
        <f>2011</f>
        <v>2011</v>
      </c>
      <c r="B1368" s="2" t="s">
        <v>96</v>
      </c>
      <c r="C1368" s="3">
        <v>0.4</v>
      </c>
    </row>
    <row r="1369" spans="1:3" s="1" customFormat="1" ht="19.75" customHeight="1" x14ac:dyDescent="0.25">
      <c r="A1369" s="7">
        <f>2011</f>
        <v>2011</v>
      </c>
      <c r="B1369" s="2" t="s">
        <v>71</v>
      </c>
      <c r="C1369" s="4">
        <v>1817.1072999999999</v>
      </c>
    </row>
    <row r="1370" spans="1:3" s="1" customFormat="1" ht="19.75" customHeight="1" x14ac:dyDescent="0.25">
      <c r="A1370" s="7">
        <f>2011</f>
        <v>2011</v>
      </c>
      <c r="B1370" s="2" t="s">
        <v>74</v>
      </c>
      <c r="C1370" s="3">
        <v>26.523299999999999</v>
      </c>
    </row>
    <row r="1371" spans="1:3" s="1" customFormat="1" ht="19.75" customHeight="1" x14ac:dyDescent="0.25">
      <c r="A1371" s="7">
        <f>2011</f>
        <v>2011</v>
      </c>
      <c r="B1371" s="2" t="s">
        <v>75</v>
      </c>
      <c r="C1371" s="6" t="s">
        <v>77</v>
      </c>
    </row>
    <row r="1372" spans="1:3" s="1" customFormat="1" ht="19.75" customHeight="1" x14ac:dyDescent="0.25">
      <c r="A1372" s="7">
        <f>2011</f>
        <v>2011</v>
      </c>
      <c r="B1372" s="2" t="s">
        <v>100</v>
      </c>
      <c r="C1372" s="3">
        <v>681.99310000000003</v>
      </c>
    </row>
    <row r="1373" spans="1:3" s="1" customFormat="1" ht="19.75" customHeight="1" x14ac:dyDescent="0.25">
      <c r="A1373" s="7">
        <f>2010</f>
        <v>2010</v>
      </c>
      <c r="B1373" s="2" t="s">
        <v>113</v>
      </c>
      <c r="C1373" s="4">
        <v>448.57</v>
      </c>
    </row>
    <row r="1374" spans="1:3" s="1" customFormat="1" ht="19.75" customHeight="1" x14ac:dyDescent="0.25">
      <c r="A1374" s="7">
        <f>2010</f>
        <v>2010</v>
      </c>
      <c r="B1374" s="2" t="s">
        <v>114</v>
      </c>
      <c r="C1374" s="3">
        <v>898.08</v>
      </c>
    </row>
    <row r="1375" spans="1:3" s="1" customFormat="1" ht="19.75" customHeight="1" x14ac:dyDescent="0.25">
      <c r="A1375" s="7">
        <f>2010</f>
        <v>2010</v>
      </c>
      <c r="B1375" s="2" t="s">
        <v>9</v>
      </c>
      <c r="C1375" s="4">
        <v>9154.86</v>
      </c>
    </row>
    <row r="1376" spans="1:3" s="1" customFormat="1" ht="19.75" customHeight="1" x14ac:dyDescent="0.25">
      <c r="A1376" s="7">
        <f>2010</f>
        <v>2010</v>
      </c>
      <c r="B1376" s="2" t="s">
        <v>125</v>
      </c>
      <c r="C1376" s="3">
        <v>365.46</v>
      </c>
    </row>
    <row r="1377" spans="1:3" s="1" customFormat="1" ht="19.75" customHeight="1" x14ac:dyDescent="0.25">
      <c r="A1377" s="7">
        <f>2010</f>
        <v>2010</v>
      </c>
      <c r="B1377" s="2" t="s">
        <v>115</v>
      </c>
      <c r="C1377" s="4">
        <v>474.82</v>
      </c>
    </row>
    <row r="1378" spans="1:3" s="1" customFormat="1" ht="19.75" customHeight="1" x14ac:dyDescent="0.25">
      <c r="A1378" s="7">
        <f>2010</f>
        <v>2010</v>
      </c>
      <c r="B1378" s="2" t="s">
        <v>116</v>
      </c>
      <c r="C1378" s="3">
        <v>756.82</v>
      </c>
    </row>
    <row r="1379" spans="1:3" s="1" customFormat="1" ht="19.75" customHeight="1" x14ac:dyDescent="0.25">
      <c r="A1379" s="7">
        <f>2010</f>
        <v>2010</v>
      </c>
      <c r="B1379" s="2" t="s">
        <v>117</v>
      </c>
      <c r="C1379" s="4">
        <v>287.99</v>
      </c>
    </row>
    <row r="1380" spans="1:3" s="1" customFormat="1" ht="19.75" customHeight="1" x14ac:dyDescent="0.25">
      <c r="A1380" s="7">
        <f>2010</f>
        <v>2010</v>
      </c>
      <c r="B1380" s="2" t="s">
        <v>101</v>
      </c>
      <c r="C1380" s="3">
        <v>1342.22</v>
      </c>
    </row>
    <row r="1381" spans="1:3" s="1" customFormat="1" ht="19.75" customHeight="1" x14ac:dyDescent="0.25">
      <c r="A1381" s="7">
        <f>2010</f>
        <v>2010</v>
      </c>
      <c r="B1381" s="2" t="s">
        <v>102</v>
      </c>
      <c r="C1381" s="4">
        <v>763.97</v>
      </c>
    </row>
    <row r="1382" spans="1:3" s="1" customFormat="1" ht="19.75" customHeight="1" x14ac:dyDescent="0.25">
      <c r="A1382" s="7">
        <f>2010</f>
        <v>2010</v>
      </c>
      <c r="B1382" s="2" t="s">
        <v>0</v>
      </c>
      <c r="C1382" s="3">
        <v>1876.93</v>
      </c>
    </row>
    <row r="1383" spans="1:3" s="1" customFormat="1" ht="19.75" customHeight="1" x14ac:dyDescent="0.25">
      <c r="A1383" s="7">
        <f>2010</f>
        <v>2010</v>
      </c>
      <c r="B1383" s="2" t="s">
        <v>1</v>
      </c>
      <c r="C1383" s="4">
        <v>2963.7</v>
      </c>
    </row>
    <row r="1384" spans="1:3" s="1" customFormat="1" ht="19.75" customHeight="1" x14ac:dyDescent="0.25">
      <c r="A1384" s="7">
        <f>2010</f>
        <v>2010</v>
      </c>
      <c r="B1384" s="2" t="s">
        <v>2</v>
      </c>
      <c r="C1384" s="3">
        <v>374.97</v>
      </c>
    </row>
    <row r="1385" spans="1:3" s="1" customFormat="1" ht="19.75" customHeight="1" x14ac:dyDescent="0.25">
      <c r="A1385" s="7">
        <f>2010</f>
        <v>2010</v>
      </c>
      <c r="B1385" s="2" t="s">
        <v>3</v>
      </c>
      <c r="C1385" s="4">
        <v>2039.38</v>
      </c>
    </row>
    <row r="1386" spans="1:3" s="1" customFormat="1" ht="19.75" customHeight="1" x14ac:dyDescent="0.25">
      <c r="A1386" s="7">
        <f>2010</f>
        <v>2010</v>
      </c>
      <c r="B1386" s="2" t="s">
        <v>4</v>
      </c>
      <c r="C1386" s="3">
        <v>1000.29</v>
      </c>
    </row>
    <row r="1387" spans="1:3" s="1" customFormat="1" ht="19.75" customHeight="1" x14ac:dyDescent="0.25">
      <c r="A1387" s="7">
        <f>2010</f>
        <v>2010</v>
      </c>
      <c r="B1387" s="2" t="s">
        <v>103</v>
      </c>
      <c r="C1387" s="4">
        <v>960.49</v>
      </c>
    </row>
    <row r="1388" spans="1:3" s="1" customFormat="1" ht="19.75" customHeight="1" x14ac:dyDescent="0.25">
      <c r="A1388" s="7">
        <f>2010</f>
        <v>2010</v>
      </c>
      <c r="B1388" s="2" t="s">
        <v>109</v>
      </c>
      <c r="C1388" s="3">
        <v>329.33</v>
      </c>
    </row>
    <row r="1389" spans="1:3" s="1" customFormat="1" ht="19.75" customHeight="1" x14ac:dyDescent="0.25">
      <c r="A1389" s="7">
        <f>2010</f>
        <v>2010</v>
      </c>
      <c r="B1389" s="2" t="s">
        <v>5</v>
      </c>
      <c r="C1389" s="4">
        <v>1192.3599999999999</v>
      </c>
    </row>
    <row r="1390" spans="1:3" s="1" customFormat="1" ht="19.75" customHeight="1" x14ac:dyDescent="0.25">
      <c r="A1390" s="7">
        <f>2010</f>
        <v>2010</v>
      </c>
      <c r="B1390" s="2" t="s">
        <v>6</v>
      </c>
      <c r="C1390" s="3">
        <v>1137.6600000000001</v>
      </c>
    </row>
    <row r="1391" spans="1:3" s="1" customFormat="1" ht="19.75" customHeight="1" x14ac:dyDescent="0.25">
      <c r="A1391" s="7">
        <f>2010</f>
        <v>2010</v>
      </c>
      <c r="B1391" s="2" t="s">
        <v>104</v>
      </c>
      <c r="C1391" s="4">
        <v>1286.82</v>
      </c>
    </row>
    <row r="1392" spans="1:3" s="1" customFormat="1" ht="19.75" customHeight="1" x14ac:dyDescent="0.25">
      <c r="A1392" s="7">
        <f>2010</f>
        <v>2010</v>
      </c>
      <c r="B1392" s="2" t="s">
        <v>7</v>
      </c>
      <c r="C1392" s="3">
        <v>368.76</v>
      </c>
    </row>
    <row r="1393" spans="1:3" s="1" customFormat="1" ht="19.75" customHeight="1" x14ac:dyDescent="0.25">
      <c r="A1393" s="7">
        <f>2010</f>
        <v>2010</v>
      </c>
      <c r="B1393" s="2" t="s">
        <v>8</v>
      </c>
      <c r="C1393" s="4">
        <v>3420.93</v>
      </c>
    </row>
    <row r="1394" spans="1:3" s="1" customFormat="1" ht="19.75" customHeight="1" x14ac:dyDescent="0.25">
      <c r="A1394" s="7">
        <f>2010</f>
        <v>2010</v>
      </c>
      <c r="B1394" s="2" t="s">
        <v>105</v>
      </c>
      <c r="C1394" s="3">
        <v>1060.3800000000001</v>
      </c>
    </row>
    <row r="1395" spans="1:3" s="1" customFormat="1" ht="19.75" customHeight="1" x14ac:dyDescent="0.25">
      <c r="A1395" s="7">
        <f>2010</f>
        <v>2010</v>
      </c>
      <c r="B1395" s="2" t="s">
        <v>10</v>
      </c>
      <c r="C1395" s="4">
        <v>693.45</v>
      </c>
    </row>
    <row r="1396" spans="1:3" s="1" customFormat="1" ht="19.75" customHeight="1" x14ac:dyDescent="0.25">
      <c r="A1396" s="7">
        <f>2010</f>
        <v>2010</v>
      </c>
      <c r="B1396" s="2" t="s">
        <v>11</v>
      </c>
      <c r="C1396" s="3">
        <v>1584.39</v>
      </c>
    </row>
    <row r="1397" spans="1:3" s="1" customFormat="1" ht="19.75" customHeight="1" x14ac:dyDescent="0.25">
      <c r="A1397" s="7">
        <f>2010</f>
        <v>2010</v>
      </c>
      <c r="B1397" s="2" t="s">
        <v>106</v>
      </c>
      <c r="C1397" s="4">
        <v>553.49</v>
      </c>
    </row>
    <row r="1398" spans="1:3" s="1" customFormat="1" ht="19.75" customHeight="1" x14ac:dyDescent="0.25">
      <c r="A1398" s="7">
        <f>2010</f>
        <v>2010</v>
      </c>
      <c r="B1398" s="2" t="s">
        <v>110</v>
      </c>
      <c r="C1398" s="3">
        <v>549.66999999999996</v>
      </c>
    </row>
    <row r="1399" spans="1:3" s="1" customFormat="1" ht="19.75" customHeight="1" x14ac:dyDescent="0.25">
      <c r="A1399" s="7">
        <f>2010</f>
        <v>2010</v>
      </c>
      <c r="B1399" s="2" t="s">
        <v>21</v>
      </c>
      <c r="C1399" s="4">
        <v>1695.28</v>
      </c>
    </row>
    <row r="1400" spans="1:3" s="1" customFormat="1" ht="19.75" customHeight="1" x14ac:dyDescent="0.25">
      <c r="A1400" s="7">
        <f>2010</f>
        <v>2010</v>
      </c>
      <c r="B1400" s="2" t="s">
        <v>12</v>
      </c>
      <c r="C1400" s="3">
        <v>2726.02</v>
      </c>
    </row>
    <row r="1401" spans="1:3" s="1" customFormat="1" ht="19.75" customHeight="1" x14ac:dyDescent="0.25">
      <c r="A1401" s="7">
        <f>2010</f>
        <v>2010</v>
      </c>
      <c r="B1401" s="2" t="s">
        <v>126</v>
      </c>
      <c r="C1401" s="4">
        <v>74.23</v>
      </c>
    </row>
    <row r="1402" spans="1:3" s="1" customFormat="1" ht="19.75" customHeight="1" x14ac:dyDescent="0.25">
      <c r="A1402" s="7">
        <f>2010</f>
        <v>2010</v>
      </c>
      <c r="B1402" s="2" t="s">
        <v>14</v>
      </c>
      <c r="C1402" s="3">
        <v>103.03</v>
      </c>
    </row>
    <row r="1403" spans="1:3" s="1" customFormat="1" ht="19.75" customHeight="1" x14ac:dyDescent="0.25">
      <c r="A1403" s="7">
        <f>2010</f>
        <v>2010</v>
      </c>
      <c r="B1403" s="2" t="s">
        <v>15</v>
      </c>
      <c r="C1403" s="4">
        <v>6.04</v>
      </c>
    </row>
    <row r="1404" spans="1:3" s="1" customFormat="1" ht="19.75" customHeight="1" x14ac:dyDescent="0.25">
      <c r="A1404" s="7">
        <f>2010</f>
        <v>2010</v>
      </c>
      <c r="B1404" s="2" t="s">
        <v>16</v>
      </c>
      <c r="C1404" s="3">
        <v>126.72</v>
      </c>
    </row>
    <row r="1405" spans="1:3" s="1" customFormat="1" ht="19.75" customHeight="1" x14ac:dyDescent="0.25">
      <c r="A1405" s="7">
        <f>2010</f>
        <v>2010</v>
      </c>
      <c r="B1405" s="2" t="s">
        <v>18</v>
      </c>
      <c r="C1405" s="4">
        <v>800.3</v>
      </c>
    </row>
    <row r="1406" spans="1:3" s="1" customFormat="1" ht="19.75" customHeight="1" x14ac:dyDescent="0.25">
      <c r="A1406" s="7">
        <f>2010</f>
        <v>2010</v>
      </c>
      <c r="B1406" s="2" t="s">
        <v>19</v>
      </c>
      <c r="C1406" s="3">
        <v>3481.03</v>
      </c>
    </row>
    <row r="1407" spans="1:3" s="1" customFormat="1" ht="19.75" customHeight="1" x14ac:dyDescent="0.25">
      <c r="A1407" s="7">
        <f>2010</f>
        <v>2010</v>
      </c>
      <c r="B1407" s="2" t="s">
        <v>20</v>
      </c>
      <c r="C1407" s="4">
        <v>5707.2</v>
      </c>
    </row>
    <row r="1408" spans="1:3" s="1" customFormat="1" ht="19.75" customHeight="1" x14ac:dyDescent="0.25">
      <c r="A1408" s="7">
        <f>2010</f>
        <v>2010</v>
      </c>
      <c r="B1408" s="2" t="s">
        <v>23</v>
      </c>
      <c r="C1408" s="3">
        <v>353.58</v>
      </c>
    </row>
    <row r="1409" spans="1:3" s="1" customFormat="1" ht="19.75" customHeight="1" x14ac:dyDescent="0.25">
      <c r="A1409" s="7">
        <f>2010</f>
        <v>2010</v>
      </c>
      <c r="B1409" s="2" t="s">
        <v>121</v>
      </c>
      <c r="C1409" s="4">
        <v>399.7353</v>
      </c>
    </row>
    <row r="1410" spans="1:3" s="1" customFormat="1" ht="19.75" customHeight="1" x14ac:dyDescent="0.25">
      <c r="A1410" s="7">
        <f>2010</f>
        <v>2010</v>
      </c>
      <c r="B1410" s="2" t="s">
        <v>24</v>
      </c>
      <c r="C1410" s="3">
        <v>445.84</v>
      </c>
    </row>
    <row r="1411" spans="1:3" s="1" customFormat="1" ht="19.75" customHeight="1" x14ac:dyDescent="0.25">
      <c r="A1411" s="7">
        <f>2010</f>
        <v>2010</v>
      </c>
      <c r="B1411" s="2" t="s">
        <v>25</v>
      </c>
      <c r="C1411" s="4">
        <v>93.72</v>
      </c>
    </row>
    <row r="1412" spans="1:3" s="1" customFormat="1" ht="19.75" customHeight="1" x14ac:dyDescent="0.25">
      <c r="A1412" s="7">
        <f>2010</f>
        <v>2010</v>
      </c>
      <c r="B1412" s="2" t="s">
        <v>26</v>
      </c>
      <c r="C1412" s="3">
        <v>127.19</v>
      </c>
    </row>
    <row r="1413" spans="1:3" s="1" customFormat="1" ht="19.75" customHeight="1" x14ac:dyDescent="0.25">
      <c r="A1413" s="7">
        <f>2010</f>
        <v>2010</v>
      </c>
      <c r="B1413" s="2" t="s">
        <v>27</v>
      </c>
      <c r="C1413" s="4">
        <v>735.89</v>
      </c>
    </row>
    <row r="1414" spans="1:3" s="1" customFormat="1" ht="19.75" customHeight="1" x14ac:dyDescent="0.25">
      <c r="A1414" s="7">
        <f>2010</f>
        <v>2010</v>
      </c>
      <c r="B1414" s="2" t="s">
        <v>107</v>
      </c>
      <c r="C1414" s="3">
        <v>135.54</v>
      </c>
    </row>
    <row r="1415" spans="1:3" s="1" customFormat="1" ht="19.75" customHeight="1" x14ac:dyDescent="0.25">
      <c r="A1415" s="7">
        <f>2010</f>
        <v>2010</v>
      </c>
      <c r="B1415" s="2" t="s">
        <v>28</v>
      </c>
      <c r="C1415" s="4">
        <v>21.72</v>
      </c>
    </row>
    <row r="1416" spans="1:3" s="1" customFormat="1" ht="19.75" customHeight="1" x14ac:dyDescent="0.25">
      <c r="A1416" s="7">
        <f>2010</f>
        <v>2010</v>
      </c>
      <c r="B1416" s="2" t="s">
        <v>29</v>
      </c>
      <c r="C1416" s="3">
        <v>14.32</v>
      </c>
    </row>
    <row r="1417" spans="1:3" s="1" customFormat="1" ht="19.75" customHeight="1" x14ac:dyDescent="0.25">
      <c r="A1417" s="7">
        <f>2010</f>
        <v>2010</v>
      </c>
      <c r="B1417" s="2" t="s">
        <v>124</v>
      </c>
      <c r="C1417" s="4">
        <v>0.2006</v>
      </c>
    </row>
    <row r="1418" spans="1:3" s="1" customFormat="1" ht="19.75" customHeight="1" x14ac:dyDescent="0.25">
      <c r="A1418" s="7">
        <f>2010</f>
        <v>2010</v>
      </c>
      <c r="B1418" s="2" t="s">
        <v>30</v>
      </c>
      <c r="C1418" s="3">
        <v>176.81</v>
      </c>
    </row>
    <row r="1419" spans="1:3" s="1" customFormat="1" ht="19.75" customHeight="1" x14ac:dyDescent="0.25">
      <c r="A1419" s="7">
        <f>2010</f>
        <v>2010</v>
      </c>
      <c r="B1419" s="2" t="s">
        <v>31</v>
      </c>
      <c r="C1419" s="4">
        <v>131.37</v>
      </c>
    </row>
    <row r="1420" spans="1:3" s="1" customFormat="1" ht="19.75" customHeight="1" x14ac:dyDescent="0.25">
      <c r="A1420" s="7">
        <f>2010</f>
        <v>2010</v>
      </c>
      <c r="B1420" s="2" t="s">
        <v>32</v>
      </c>
      <c r="C1420" s="3">
        <v>385.6</v>
      </c>
    </row>
    <row r="1421" spans="1:3" s="1" customFormat="1" ht="19.75" customHeight="1" x14ac:dyDescent="0.25">
      <c r="A1421" s="7">
        <f>2010</f>
        <v>2010</v>
      </c>
      <c r="B1421" s="2" t="s">
        <v>17</v>
      </c>
      <c r="C1421" s="4">
        <v>15.38</v>
      </c>
    </row>
    <row r="1422" spans="1:3" s="1" customFormat="1" ht="19.75" customHeight="1" x14ac:dyDescent="0.25">
      <c r="A1422" s="7">
        <f>2010</f>
        <v>2010</v>
      </c>
      <c r="B1422" s="2" t="s">
        <v>93</v>
      </c>
      <c r="C1422" s="3">
        <v>4.01</v>
      </c>
    </row>
    <row r="1423" spans="1:3" s="1" customFormat="1" ht="19.75" customHeight="1" x14ac:dyDescent="0.25">
      <c r="A1423" s="7">
        <f>2010</f>
        <v>2010</v>
      </c>
      <c r="B1423" s="2" t="s">
        <v>98</v>
      </c>
      <c r="C1423" s="4">
        <v>3.5350000000000001</v>
      </c>
    </row>
    <row r="1424" spans="1:3" s="1" customFormat="1" ht="19.75" customHeight="1" x14ac:dyDescent="0.25">
      <c r="A1424" s="7">
        <f>2010</f>
        <v>2010</v>
      </c>
      <c r="B1424" s="2" t="s">
        <v>34</v>
      </c>
      <c r="C1424" s="3">
        <v>75.183499999999995</v>
      </c>
    </row>
    <row r="1425" spans="1:3" s="1" customFormat="1" ht="19.75" customHeight="1" x14ac:dyDescent="0.25">
      <c r="A1425" s="7">
        <f>2010</f>
        <v>2010</v>
      </c>
      <c r="B1425" s="2" t="s">
        <v>36</v>
      </c>
      <c r="C1425" s="4">
        <v>281.17180000000002</v>
      </c>
    </row>
    <row r="1426" spans="1:3" s="1" customFormat="1" ht="19.75" customHeight="1" x14ac:dyDescent="0.25">
      <c r="A1426" s="7">
        <f>2010</f>
        <v>2010</v>
      </c>
      <c r="B1426" s="2" t="s">
        <v>37</v>
      </c>
      <c r="C1426" s="3">
        <v>4.96</v>
      </c>
    </row>
    <row r="1427" spans="1:3" s="1" customFormat="1" ht="19.75" customHeight="1" x14ac:dyDescent="0.25">
      <c r="A1427" s="7">
        <f>2010</f>
        <v>2010</v>
      </c>
      <c r="B1427" s="2" t="s">
        <v>38</v>
      </c>
      <c r="C1427" s="4">
        <v>4.6500000000000004</v>
      </c>
    </row>
    <row r="1428" spans="1:3" s="1" customFormat="1" ht="19.75" customHeight="1" x14ac:dyDescent="0.25">
      <c r="A1428" s="7">
        <f>2010</f>
        <v>2010</v>
      </c>
      <c r="B1428" s="2" t="s">
        <v>40</v>
      </c>
      <c r="C1428" s="3">
        <v>131.9281</v>
      </c>
    </row>
    <row r="1429" spans="1:3" s="1" customFormat="1" ht="19.75" customHeight="1" x14ac:dyDescent="0.25">
      <c r="A1429" s="7">
        <f>2010</f>
        <v>2010</v>
      </c>
      <c r="B1429" s="2" t="s">
        <v>41</v>
      </c>
      <c r="C1429" s="4">
        <v>884.33130000000006</v>
      </c>
    </row>
    <row r="1430" spans="1:3" s="1" customFormat="1" ht="19.75" customHeight="1" x14ac:dyDescent="0.25">
      <c r="A1430" s="7">
        <f>2010</f>
        <v>2010</v>
      </c>
      <c r="B1430" s="2" t="s">
        <v>42</v>
      </c>
      <c r="C1430" s="3">
        <v>218.11</v>
      </c>
    </row>
    <row r="1431" spans="1:3" s="1" customFormat="1" ht="19.75" customHeight="1" x14ac:dyDescent="0.25">
      <c r="A1431" s="7">
        <f>2010</f>
        <v>2010</v>
      </c>
      <c r="B1431" s="2" t="s">
        <v>43</v>
      </c>
      <c r="C1431" s="4">
        <v>2430.3386999999998</v>
      </c>
    </row>
    <row r="1432" spans="1:3" s="1" customFormat="1" ht="19.75" customHeight="1" x14ac:dyDescent="0.25">
      <c r="A1432" s="7">
        <f>2010</f>
        <v>2010</v>
      </c>
      <c r="B1432" s="2" t="s">
        <v>45</v>
      </c>
      <c r="C1432" s="3">
        <v>309.7</v>
      </c>
    </row>
    <row r="1433" spans="1:3" s="1" customFormat="1" ht="19.75" customHeight="1" x14ac:dyDescent="0.25">
      <c r="A1433" s="7">
        <f>2010</f>
        <v>2010</v>
      </c>
      <c r="B1433" s="2" t="s">
        <v>46</v>
      </c>
      <c r="C1433" s="4">
        <v>1.92</v>
      </c>
    </row>
    <row r="1434" spans="1:3" s="1" customFormat="1" ht="19.75" customHeight="1" x14ac:dyDescent="0.25">
      <c r="A1434" s="7">
        <f>2010</f>
        <v>2010</v>
      </c>
      <c r="B1434" s="2" t="s">
        <v>47</v>
      </c>
      <c r="C1434" s="3">
        <v>279.33</v>
      </c>
    </row>
    <row r="1435" spans="1:3" s="1" customFormat="1" ht="19.75" customHeight="1" x14ac:dyDescent="0.25">
      <c r="A1435" s="7">
        <f>2010</f>
        <v>2010</v>
      </c>
      <c r="B1435" s="2" t="s">
        <v>48</v>
      </c>
      <c r="C1435" s="4">
        <v>690.83240000000001</v>
      </c>
    </row>
    <row r="1436" spans="1:3" s="1" customFormat="1" ht="19.75" customHeight="1" x14ac:dyDescent="0.25">
      <c r="A1436" s="7">
        <f>2010</f>
        <v>2010</v>
      </c>
      <c r="B1436" s="2" t="s">
        <v>52</v>
      </c>
      <c r="C1436" s="3">
        <v>0.08</v>
      </c>
    </row>
    <row r="1437" spans="1:3" s="1" customFormat="1" ht="19.75" customHeight="1" x14ac:dyDescent="0.25">
      <c r="A1437" s="7">
        <f>2010</f>
        <v>2010</v>
      </c>
      <c r="B1437" s="2" t="s">
        <v>99</v>
      </c>
      <c r="C1437" s="4">
        <v>2626.6734999999999</v>
      </c>
    </row>
    <row r="1438" spans="1:3" s="1" customFormat="1" ht="19.75" customHeight="1" x14ac:dyDescent="0.25">
      <c r="A1438" s="7">
        <f>2010</f>
        <v>2010</v>
      </c>
      <c r="B1438" s="2" t="s">
        <v>122</v>
      </c>
      <c r="C1438" s="3">
        <v>1.4429000000000001</v>
      </c>
    </row>
    <row r="1439" spans="1:3" s="1" customFormat="1" ht="19.75" customHeight="1" x14ac:dyDescent="0.25">
      <c r="A1439" s="7">
        <f>2010</f>
        <v>2010</v>
      </c>
      <c r="B1439" s="2" t="s">
        <v>55</v>
      </c>
      <c r="C1439" s="4">
        <v>-16.8094</v>
      </c>
    </row>
    <row r="1440" spans="1:3" s="1" customFormat="1" ht="19.75" customHeight="1" x14ac:dyDescent="0.25">
      <c r="A1440" s="7">
        <f>2010</f>
        <v>2010</v>
      </c>
      <c r="B1440" s="2" t="s">
        <v>56</v>
      </c>
      <c r="C1440" s="3">
        <v>-0.81</v>
      </c>
    </row>
    <row r="1441" spans="1:3" s="1" customFormat="1" ht="19.75" customHeight="1" x14ac:dyDescent="0.25">
      <c r="A1441" s="7">
        <f>2010</f>
        <v>2010</v>
      </c>
      <c r="B1441" s="2" t="s">
        <v>123</v>
      </c>
      <c r="C1441" s="4">
        <v>32.661999999999999</v>
      </c>
    </row>
    <row r="1442" spans="1:3" s="1" customFormat="1" ht="19.75" customHeight="1" x14ac:dyDescent="0.25">
      <c r="A1442" s="7">
        <f>2010</f>
        <v>2010</v>
      </c>
      <c r="B1442" s="2" t="s">
        <v>95</v>
      </c>
      <c r="C1442" s="3">
        <v>0.63</v>
      </c>
    </row>
    <row r="1443" spans="1:3" s="1" customFormat="1" ht="19.75" customHeight="1" x14ac:dyDescent="0.25">
      <c r="A1443" s="7">
        <f>2010</f>
        <v>2010</v>
      </c>
      <c r="B1443" s="2" t="s">
        <v>59</v>
      </c>
      <c r="C1443" s="4">
        <v>5.62</v>
      </c>
    </row>
    <row r="1444" spans="1:3" s="1" customFormat="1" ht="19.75" customHeight="1" x14ac:dyDescent="0.25">
      <c r="A1444" s="7">
        <f>2010</f>
        <v>2010</v>
      </c>
      <c r="B1444" s="2" t="s">
        <v>60</v>
      </c>
      <c r="C1444" s="3">
        <v>18.468399999999999</v>
      </c>
    </row>
    <row r="1445" spans="1:3" s="1" customFormat="1" ht="19.75" customHeight="1" x14ac:dyDescent="0.25">
      <c r="A1445" s="7">
        <f>2010</f>
        <v>2010</v>
      </c>
      <c r="B1445" s="2" t="s">
        <v>61</v>
      </c>
      <c r="C1445" s="4">
        <v>83.35</v>
      </c>
    </row>
    <row r="1446" spans="1:3" s="1" customFormat="1" ht="19.75" customHeight="1" x14ac:dyDescent="0.25">
      <c r="A1446" s="7">
        <f>2010</f>
        <v>2010</v>
      </c>
      <c r="B1446" s="2" t="s">
        <v>64</v>
      </c>
      <c r="C1446" s="3">
        <v>0.09</v>
      </c>
    </row>
    <row r="1447" spans="1:3" s="1" customFormat="1" ht="19.75" customHeight="1" x14ac:dyDescent="0.25">
      <c r="A1447" s="7">
        <f>2010</f>
        <v>2010</v>
      </c>
      <c r="B1447" s="2" t="s">
        <v>67</v>
      </c>
      <c r="C1447" s="4">
        <v>9.33</v>
      </c>
    </row>
    <row r="1448" spans="1:3" s="1" customFormat="1" ht="19.75" customHeight="1" x14ac:dyDescent="0.25">
      <c r="A1448" s="7">
        <f>2010</f>
        <v>2010</v>
      </c>
      <c r="B1448" s="2" t="s">
        <v>68</v>
      </c>
      <c r="C1448" s="3">
        <v>22.179300000000001</v>
      </c>
    </row>
    <row r="1449" spans="1:3" s="1" customFormat="1" ht="19.75" customHeight="1" x14ac:dyDescent="0.25">
      <c r="A1449" s="7">
        <f>2010</f>
        <v>2010</v>
      </c>
      <c r="B1449" s="2" t="s">
        <v>69</v>
      </c>
      <c r="C1449" s="4">
        <v>6.6925999999999997</v>
      </c>
    </row>
    <row r="1450" spans="1:3" s="1" customFormat="1" ht="19.75" customHeight="1" x14ac:dyDescent="0.25">
      <c r="A1450" s="7">
        <f>2010</f>
        <v>2010</v>
      </c>
      <c r="B1450" s="2" t="s">
        <v>96</v>
      </c>
      <c r="C1450" s="3">
        <v>0.72850000000000004</v>
      </c>
    </row>
    <row r="1451" spans="1:3" s="1" customFormat="1" ht="19.75" customHeight="1" x14ac:dyDescent="0.25">
      <c r="A1451" s="7">
        <f>2010</f>
        <v>2010</v>
      </c>
      <c r="B1451" s="2" t="s">
        <v>71</v>
      </c>
      <c r="C1451" s="4">
        <v>2182.7130999999999</v>
      </c>
    </row>
    <row r="1452" spans="1:3" s="1" customFormat="1" ht="19.75" customHeight="1" x14ac:dyDescent="0.25">
      <c r="A1452" s="7">
        <f>2010</f>
        <v>2010</v>
      </c>
      <c r="B1452" s="2" t="s">
        <v>74</v>
      </c>
      <c r="C1452" s="3">
        <v>-2.9257</v>
      </c>
    </row>
    <row r="1453" spans="1:3" s="1" customFormat="1" ht="19.75" customHeight="1" x14ac:dyDescent="0.25">
      <c r="A1453" s="7">
        <f>2010</f>
        <v>2010</v>
      </c>
      <c r="B1453" s="2" t="s">
        <v>100</v>
      </c>
      <c r="C1453" s="4">
        <v>1270.18</v>
      </c>
    </row>
    <row r="1454" spans="1:3" s="1" customFormat="1" ht="19.75" customHeight="1" x14ac:dyDescent="0.25">
      <c r="A1454" s="7">
        <f>2009</f>
        <v>2009</v>
      </c>
      <c r="B1454" s="2" t="s">
        <v>113</v>
      </c>
      <c r="C1454" s="3">
        <v>489.39</v>
      </c>
    </row>
    <row r="1455" spans="1:3" s="1" customFormat="1" ht="19.75" customHeight="1" x14ac:dyDescent="0.25">
      <c r="A1455" s="7">
        <f>2009</f>
        <v>2009</v>
      </c>
      <c r="B1455" s="2" t="s">
        <v>114</v>
      </c>
      <c r="C1455" s="4">
        <v>687.15</v>
      </c>
    </row>
    <row r="1456" spans="1:3" s="1" customFormat="1" ht="19.75" customHeight="1" x14ac:dyDescent="0.25">
      <c r="A1456" s="7">
        <f>2009</f>
        <v>2009</v>
      </c>
      <c r="B1456" s="2" t="s">
        <v>9</v>
      </c>
      <c r="C1456" s="3">
        <v>8794</v>
      </c>
    </row>
    <row r="1457" spans="1:3" s="1" customFormat="1" ht="19.75" customHeight="1" x14ac:dyDescent="0.25">
      <c r="A1457" s="7">
        <f>2009</f>
        <v>2009</v>
      </c>
      <c r="B1457" s="2" t="s">
        <v>125</v>
      </c>
      <c r="C1457" s="4">
        <v>345.09</v>
      </c>
    </row>
    <row r="1458" spans="1:3" s="1" customFormat="1" ht="19.75" customHeight="1" x14ac:dyDescent="0.25">
      <c r="A1458" s="7">
        <f>2009</f>
        <v>2009</v>
      </c>
      <c r="B1458" s="2" t="s">
        <v>115</v>
      </c>
      <c r="C1458" s="3">
        <v>316.61</v>
      </c>
    </row>
    <row r="1459" spans="1:3" s="1" customFormat="1" ht="19.75" customHeight="1" x14ac:dyDescent="0.25">
      <c r="A1459" s="7">
        <f>2009</f>
        <v>2009</v>
      </c>
      <c r="B1459" s="2" t="s">
        <v>116</v>
      </c>
      <c r="C1459" s="4">
        <v>485.25</v>
      </c>
    </row>
    <row r="1460" spans="1:3" s="1" customFormat="1" ht="19.75" customHeight="1" x14ac:dyDescent="0.25">
      <c r="A1460" s="7">
        <f>2009</f>
        <v>2009</v>
      </c>
      <c r="B1460" s="2" t="s">
        <v>117</v>
      </c>
      <c r="C1460" s="3">
        <v>448.44</v>
      </c>
    </row>
    <row r="1461" spans="1:3" s="1" customFormat="1" ht="19.75" customHeight="1" x14ac:dyDescent="0.25">
      <c r="A1461" s="7">
        <f>2009</f>
        <v>2009</v>
      </c>
      <c r="B1461" s="2" t="s">
        <v>101</v>
      </c>
      <c r="C1461" s="4">
        <v>1132.55</v>
      </c>
    </row>
    <row r="1462" spans="1:3" s="1" customFormat="1" ht="19.75" customHeight="1" x14ac:dyDescent="0.25">
      <c r="A1462" s="7">
        <f>2009</f>
        <v>2009</v>
      </c>
      <c r="B1462" s="2" t="s">
        <v>102</v>
      </c>
      <c r="C1462" s="3">
        <v>634.98</v>
      </c>
    </row>
    <row r="1463" spans="1:3" s="1" customFormat="1" ht="19.75" customHeight="1" x14ac:dyDescent="0.25">
      <c r="A1463" s="7">
        <f>2009</f>
        <v>2009</v>
      </c>
      <c r="B1463" s="2" t="s">
        <v>0</v>
      </c>
      <c r="C1463" s="4">
        <v>2077.8000000000002</v>
      </c>
    </row>
    <row r="1464" spans="1:3" s="1" customFormat="1" ht="19.75" customHeight="1" x14ac:dyDescent="0.25">
      <c r="A1464" s="7">
        <f>2009</f>
        <v>2009</v>
      </c>
      <c r="B1464" s="2" t="s">
        <v>1</v>
      </c>
      <c r="C1464" s="3">
        <v>2449.46</v>
      </c>
    </row>
    <row r="1465" spans="1:3" s="1" customFormat="1" ht="19.75" customHeight="1" x14ac:dyDescent="0.25">
      <c r="A1465" s="7">
        <f>2009</f>
        <v>2009</v>
      </c>
      <c r="B1465" s="2" t="s">
        <v>2</v>
      </c>
      <c r="C1465" s="4">
        <v>418.36</v>
      </c>
    </row>
    <row r="1466" spans="1:3" s="1" customFormat="1" ht="19.75" customHeight="1" x14ac:dyDescent="0.25">
      <c r="A1466" s="7">
        <f>2009</f>
        <v>2009</v>
      </c>
      <c r="B1466" s="2" t="s">
        <v>3</v>
      </c>
      <c r="C1466" s="3">
        <v>1891.35</v>
      </c>
    </row>
    <row r="1467" spans="1:3" s="1" customFormat="1" ht="19.75" customHeight="1" x14ac:dyDescent="0.25">
      <c r="A1467" s="7">
        <f>2009</f>
        <v>2009</v>
      </c>
      <c r="B1467" s="2" t="s">
        <v>4</v>
      </c>
      <c r="C1467" s="4">
        <v>865.5</v>
      </c>
    </row>
    <row r="1468" spans="1:3" s="1" customFormat="1" ht="19.75" customHeight="1" x14ac:dyDescent="0.25">
      <c r="A1468" s="7">
        <f>2009</f>
        <v>2009</v>
      </c>
      <c r="B1468" s="2" t="s">
        <v>103</v>
      </c>
      <c r="C1468" s="3">
        <v>858.85</v>
      </c>
    </row>
    <row r="1469" spans="1:3" s="1" customFormat="1" ht="19.75" customHeight="1" x14ac:dyDescent="0.25">
      <c r="A1469" s="7">
        <f>2009</f>
        <v>2009</v>
      </c>
      <c r="B1469" s="2" t="s">
        <v>109</v>
      </c>
      <c r="C1469" s="4">
        <v>303.7</v>
      </c>
    </row>
    <row r="1470" spans="1:3" s="1" customFormat="1" ht="19.75" customHeight="1" x14ac:dyDescent="0.25">
      <c r="A1470" s="7">
        <f>2009</f>
        <v>2009</v>
      </c>
      <c r="B1470" s="2" t="s">
        <v>5</v>
      </c>
      <c r="C1470" s="3">
        <v>810.51</v>
      </c>
    </row>
    <row r="1471" spans="1:3" s="1" customFormat="1" ht="19.75" customHeight="1" x14ac:dyDescent="0.25">
      <c r="A1471" s="7">
        <f>2009</f>
        <v>2009</v>
      </c>
      <c r="B1471" s="2" t="s">
        <v>6</v>
      </c>
      <c r="C1471" s="4">
        <v>1197.93</v>
      </c>
    </row>
    <row r="1472" spans="1:3" s="1" customFormat="1" ht="19.75" customHeight="1" x14ac:dyDescent="0.25">
      <c r="A1472" s="7">
        <f>2009</f>
        <v>2009</v>
      </c>
      <c r="B1472" s="2" t="s">
        <v>104</v>
      </c>
      <c r="C1472" s="3">
        <v>779.55</v>
      </c>
    </row>
    <row r="1473" spans="1:3" s="1" customFormat="1" ht="19.75" customHeight="1" x14ac:dyDescent="0.25">
      <c r="A1473" s="7">
        <f>2009</f>
        <v>2009</v>
      </c>
      <c r="B1473" s="2" t="s">
        <v>7</v>
      </c>
      <c r="C1473" s="4">
        <v>290.52999999999997</v>
      </c>
    </row>
    <row r="1474" spans="1:3" s="1" customFormat="1" ht="19.75" customHeight="1" x14ac:dyDescent="0.25">
      <c r="A1474" s="7">
        <f>2009</f>
        <v>2009</v>
      </c>
      <c r="B1474" s="2" t="s">
        <v>8</v>
      </c>
      <c r="C1474" s="3">
        <v>2599.52</v>
      </c>
    </row>
    <row r="1475" spans="1:3" s="1" customFormat="1" ht="19.75" customHeight="1" x14ac:dyDescent="0.25">
      <c r="A1475" s="7">
        <f>2009</f>
        <v>2009</v>
      </c>
      <c r="B1475" s="2" t="s">
        <v>105</v>
      </c>
      <c r="C1475" s="4">
        <v>833.62</v>
      </c>
    </row>
    <row r="1476" spans="1:3" s="1" customFormat="1" ht="19.75" customHeight="1" x14ac:dyDescent="0.25">
      <c r="A1476" s="7">
        <f>2009</f>
        <v>2009</v>
      </c>
      <c r="B1476" s="2" t="s">
        <v>10</v>
      </c>
      <c r="C1476" s="3">
        <v>643.91</v>
      </c>
    </row>
    <row r="1477" spans="1:3" s="1" customFormat="1" ht="19.75" customHeight="1" x14ac:dyDescent="0.25">
      <c r="A1477" s="7">
        <f>2009</f>
        <v>2009</v>
      </c>
      <c r="B1477" s="2" t="s">
        <v>11</v>
      </c>
      <c r="C1477" s="4">
        <v>1355.45</v>
      </c>
    </row>
    <row r="1478" spans="1:3" s="1" customFormat="1" ht="19.75" customHeight="1" x14ac:dyDescent="0.25">
      <c r="A1478" s="7">
        <f>2009</f>
        <v>2009</v>
      </c>
      <c r="B1478" s="2" t="s">
        <v>106</v>
      </c>
      <c r="C1478" s="3">
        <v>492.52</v>
      </c>
    </row>
    <row r="1479" spans="1:3" s="1" customFormat="1" ht="19.75" customHeight="1" x14ac:dyDescent="0.25">
      <c r="A1479" s="7">
        <f>2009</f>
        <v>2009</v>
      </c>
      <c r="B1479" s="2" t="s">
        <v>110</v>
      </c>
      <c r="C1479" s="4">
        <v>636.42999999999995</v>
      </c>
    </row>
    <row r="1480" spans="1:3" s="1" customFormat="1" ht="19.75" customHeight="1" x14ac:dyDescent="0.25">
      <c r="A1480" s="7">
        <f>2009</f>
        <v>2009</v>
      </c>
      <c r="B1480" s="2" t="s">
        <v>21</v>
      </c>
      <c r="C1480" s="3">
        <v>519.38</v>
      </c>
    </row>
    <row r="1481" spans="1:3" s="1" customFormat="1" ht="19.75" customHeight="1" x14ac:dyDescent="0.25">
      <c r="A1481" s="7">
        <f>2009</f>
        <v>2009</v>
      </c>
      <c r="B1481" s="2" t="s">
        <v>12</v>
      </c>
      <c r="C1481" s="4">
        <v>1909.52</v>
      </c>
    </row>
    <row r="1482" spans="1:3" s="1" customFormat="1" ht="19.75" customHeight="1" x14ac:dyDescent="0.25">
      <c r="A1482" s="7">
        <f>2009</f>
        <v>2009</v>
      </c>
      <c r="B1482" s="2" t="s">
        <v>126</v>
      </c>
      <c r="C1482" s="3">
        <v>76.05</v>
      </c>
    </row>
    <row r="1483" spans="1:3" s="1" customFormat="1" ht="19.75" customHeight="1" x14ac:dyDescent="0.25">
      <c r="A1483" s="7">
        <f>2009</f>
        <v>2009</v>
      </c>
      <c r="B1483" s="2" t="s">
        <v>14</v>
      </c>
      <c r="C1483" s="4">
        <v>104.59</v>
      </c>
    </row>
    <row r="1484" spans="1:3" s="1" customFormat="1" ht="19.75" customHeight="1" x14ac:dyDescent="0.25">
      <c r="A1484" s="7">
        <f>2009</f>
        <v>2009</v>
      </c>
      <c r="B1484" s="2" t="s">
        <v>15</v>
      </c>
      <c r="C1484" s="3">
        <v>41.62</v>
      </c>
    </row>
    <row r="1485" spans="1:3" s="1" customFormat="1" ht="19.75" customHeight="1" x14ac:dyDescent="0.25">
      <c r="A1485" s="7">
        <f>2009</f>
        <v>2009</v>
      </c>
      <c r="B1485" s="2" t="s">
        <v>16</v>
      </c>
      <c r="C1485" s="4">
        <v>163.41999999999999</v>
      </c>
    </row>
    <row r="1486" spans="1:3" s="1" customFormat="1" ht="19.75" customHeight="1" x14ac:dyDescent="0.25">
      <c r="A1486" s="7">
        <f>2009</f>
        <v>2009</v>
      </c>
      <c r="B1486" s="2" t="s">
        <v>18</v>
      </c>
      <c r="C1486" s="3">
        <v>759.28</v>
      </c>
    </row>
    <row r="1487" spans="1:3" s="1" customFormat="1" ht="19.75" customHeight="1" x14ac:dyDescent="0.25">
      <c r="A1487" s="7">
        <f>2009</f>
        <v>2009</v>
      </c>
      <c r="B1487" s="2" t="s">
        <v>19</v>
      </c>
      <c r="C1487" s="4">
        <v>2934.02</v>
      </c>
    </row>
    <row r="1488" spans="1:3" s="1" customFormat="1" ht="19.75" customHeight="1" x14ac:dyDescent="0.25">
      <c r="A1488" s="7">
        <f>2009</f>
        <v>2009</v>
      </c>
      <c r="B1488" s="2" t="s">
        <v>20</v>
      </c>
      <c r="C1488" s="3">
        <v>5167.1000000000004</v>
      </c>
    </row>
    <row r="1489" spans="1:3" s="1" customFormat="1" ht="19.75" customHeight="1" x14ac:dyDescent="0.25">
      <c r="A1489" s="7">
        <f>2009</f>
        <v>2009</v>
      </c>
      <c r="B1489" s="2" t="s">
        <v>23</v>
      </c>
      <c r="C1489" s="4">
        <v>219.91</v>
      </c>
    </row>
    <row r="1490" spans="1:3" s="1" customFormat="1" ht="19.75" customHeight="1" x14ac:dyDescent="0.25">
      <c r="A1490" s="7">
        <f>2009</f>
        <v>2009</v>
      </c>
      <c r="B1490" s="2" t="s">
        <v>121</v>
      </c>
      <c r="C1490" s="3">
        <v>236.0361</v>
      </c>
    </row>
    <row r="1491" spans="1:3" s="1" customFormat="1" ht="19.75" customHeight="1" x14ac:dyDescent="0.25">
      <c r="A1491" s="7">
        <f>2009</f>
        <v>2009</v>
      </c>
      <c r="B1491" s="2" t="s">
        <v>24</v>
      </c>
      <c r="C1491" s="4">
        <v>364.62</v>
      </c>
    </row>
    <row r="1492" spans="1:3" s="1" customFormat="1" ht="19.75" customHeight="1" x14ac:dyDescent="0.25">
      <c r="A1492" s="7">
        <f>2009</f>
        <v>2009</v>
      </c>
      <c r="B1492" s="2" t="s">
        <v>25</v>
      </c>
      <c r="C1492" s="3">
        <v>213.51</v>
      </c>
    </row>
    <row r="1493" spans="1:3" s="1" customFormat="1" ht="19.75" customHeight="1" x14ac:dyDescent="0.25">
      <c r="A1493" s="7">
        <f>2009</f>
        <v>2009</v>
      </c>
      <c r="B1493" s="2" t="s">
        <v>26</v>
      </c>
      <c r="C1493" s="4">
        <v>182.18</v>
      </c>
    </row>
    <row r="1494" spans="1:3" s="1" customFormat="1" ht="19.75" customHeight="1" x14ac:dyDescent="0.25">
      <c r="A1494" s="7">
        <f>2009</f>
        <v>2009</v>
      </c>
      <c r="B1494" s="2" t="s">
        <v>27</v>
      </c>
      <c r="C1494" s="3">
        <v>319.66000000000003</v>
      </c>
    </row>
    <row r="1495" spans="1:3" s="1" customFormat="1" ht="19.75" customHeight="1" x14ac:dyDescent="0.25">
      <c r="A1495" s="7">
        <f>2009</f>
        <v>2009</v>
      </c>
      <c r="B1495" s="2" t="s">
        <v>107</v>
      </c>
      <c r="C1495" s="4">
        <v>58.55</v>
      </c>
    </row>
    <row r="1496" spans="1:3" s="1" customFormat="1" ht="19.75" customHeight="1" x14ac:dyDescent="0.25">
      <c r="A1496" s="7">
        <f>2009</f>
        <v>2009</v>
      </c>
      <c r="B1496" s="2" t="s">
        <v>28</v>
      </c>
      <c r="C1496" s="3">
        <v>28.11</v>
      </c>
    </row>
    <row r="1497" spans="1:3" s="1" customFormat="1" ht="19.75" customHeight="1" x14ac:dyDescent="0.25">
      <c r="A1497" s="7">
        <f>2009</f>
        <v>2009</v>
      </c>
      <c r="B1497" s="2" t="s">
        <v>29</v>
      </c>
      <c r="C1497" s="4">
        <v>15.31</v>
      </c>
    </row>
    <row r="1498" spans="1:3" s="1" customFormat="1" ht="19.75" customHeight="1" x14ac:dyDescent="0.25">
      <c r="A1498" s="7">
        <f>2009</f>
        <v>2009</v>
      </c>
      <c r="B1498" s="2" t="s">
        <v>124</v>
      </c>
      <c r="C1498" s="3">
        <v>0.45069999999999999</v>
      </c>
    </row>
    <row r="1499" spans="1:3" s="1" customFormat="1" ht="19.75" customHeight="1" x14ac:dyDescent="0.25">
      <c r="A1499" s="7">
        <f>2009</f>
        <v>2009</v>
      </c>
      <c r="B1499" s="2" t="s">
        <v>30</v>
      </c>
      <c r="C1499" s="4">
        <v>163.93</v>
      </c>
    </row>
    <row r="1500" spans="1:3" s="1" customFormat="1" ht="19.75" customHeight="1" x14ac:dyDescent="0.25">
      <c r="A1500" s="7">
        <f>2009</f>
        <v>2009</v>
      </c>
      <c r="B1500" s="2" t="s">
        <v>31</v>
      </c>
      <c r="C1500" s="3">
        <v>115.07</v>
      </c>
    </row>
    <row r="1501" spans="1:3" s="1" customFormat="1" ht="19.75" customHeight="1" x14ac:dyDescent="0.25">
      <c r="A1501" s="7">
        <f>2009</f>
        <v>2009</v>
      </c>
      <c r="B1501" s="2" t="s">
        <v>32</v>
      </c>
      <c r="C1501" s="4">
        <v>223.81290000000001</v>
      </c>
    </row>
    <row r="1502" spans="1:3" s="1" customFormat="1" ht="19.75" customHeight="1" x14ac:dyDescent="0.25">
      <c r="A1502" s="7">
        <f>2009</f>
        <v>2009</v>
      </c>
      <c r="B1502" s="2" t="s">
        <v>17</v>
      </c>
      <c r="C1502" s="3">
        <v>30.45</v>
      </c>
    </row>
    <row r="1503" spans="1:3" s="1" customFormat="1" ht="19.75" customHeight="1" x14ac:dyDescent="0.25">
      <c r="A1503" s="7">
        <f>2009</f>
        <v>2009</v>
      </c>
      <c r="B1503" s="2" t="s">
        <v>93</v>
      </c>
      <c r="C1503" s="4">
        <v>3.58</v>
      </c>
    </row>
    <row r="1504" spans="1:3" s="1" customFormat="1" ht="19.75" customHeight="1" x14ac:dyDescent="0.25">
      <c r="A1504" s="7">
        <f>2009</f>
        <v>2009</v>
      </c>
      <c r="B1504" s="2" t="s">
        <v>98</v>
      </c>
      <c r="C1504" s="3">
        <v>3.6</v>
      </c>
    </row>
    <row r="1505" spans="1:3" s="1" customFormat="1" ht="19.75" customHeight="1" x14ac:dyDescent="0.25">
      <c r="A1505" s="7">
        <f>2009</f>
        <v>2009</v>
      </c>
      <c r="B1505" s="2" t="s">
        <v>34</v>
      </c>
      <c r="C1505" s="4">
        <v>61.275199999999998</v>
      </c>
    </row>
    <row r="1506" spans="1:3" s="1" customFormat="1" ht="19.75" customHeight="1" x14ac:dyDescent="0.25">
      <c r="A1506" s="7">
        <f>2009</f>
        <v>2009</v>
      </c>
      <c r="B1506" s="2" t="s">
        <v>36</v>
      </c>
      <c r="C1506" s="3">
        <v>336.20299999999997</v>
      </c>
    </row>
    <row r="1507" spans="1:3" s="1" customFormat="1" ht="19.75" customHeight="1" x14ac:dyDescent="0.25">
      <c r="A1507" s="7">
        <f>2009</f>
        <v>2009</v>
      </c>
      <c r="B1507" s="2" t="s">
        <v>37</v>
      </c>
      <c r="C1507" s="4">
        <v>4.22</v>
      </c>
    </row>
    <row r="1508" spans="1:3" s="1" customFormat="1" ht="19.75" customHeight="1" x14ac:dyDescent="0.25">
      <c r="A1508" s="7">
        <f>2009</f>
        <v>2009</v>
      </c>
      <c r="B1508" s="2" t="s">
        <v>38</v>
      </c>
      <c r="C1508" s="3">
        <v>3.01</v>
      </c>
    </row>
    <row r="1509" spans="1:3" s="1" customFormat="1" ht="19.75" customHeight="1" x14ac:dyDescent="0.25">
      <c r="A1509" s="7">
        <f>2009</f>
        <v>2009</v>
      </c>
      <c r="B1509" s="2" t="s">
        <v>40</v>
      </c>
      <c r="C1509" s="4">
        <v>134.1908</v>
      </c>
    </row>
    <row r="1510" spans="1:3" s="1" customFormat="1" ht="19.75" customHeight="1" x14ac:dyDescent="0.25">
      <c r="A1510" s="7">
        <f>2009</f>
        <v>2009</v>
      </c>
      <c r="B1510" s="2" t="s">
        <v>41</v>
      </c>
      <c r="C1510" s="3">
        <v>724.67</v>
      </c>
    </row>
    <row r="1511" spans="1:3" s="1" customFormat="1" ht="19.75" customHeight="1" x14ac:dyDescent="0.25">
      <c r="A1511" s="7">
        <f>2009</f>
        <v>2009</v>
      </c>
      <c r="B1511" s="2" t="s">
        <v>42</v>
      </c>
      <c r="C1511" s="4">
        <v>244.0924</v>
      </c>
    </row>
    <row r="1512" spans="1:3" s="1" customFormat="1" ht="19.75" customHeight="1" x14ac:dyDescent="0.25">
      <c r="A1512" s="7">
        <f>2009</f>
        <v>2009</v>
      </c>
      <c r="B1512" s="2" t="s">
        <v>43</v>
      </c>
      <c r="C1512" s="3">
        <v>3233.3946000000001</v>
      </c>
    </row>
    <row r="1513" spans="1:3" s="1" customFormat="1" ht="19.75" customHeight="1" x14ac:dyDescent="0.25">
      <c r="A1513" s="7">
        <f>2009</f>
        <v>2009</v>
      </c>
      <c r="B1513" s="2" t="s">
        <v>45</v>
      </c>
      <c r="C1513" s="4">
        <v>172.7</v>
      </c>
    </row>
    <row r="1514" spans="1:3" s="1" customFormat="1" ht="19.75" customHeight="1" x14ac:dyDescent="0.25">
      <c r="A1514" s="7">
        <f>2009</f>
        <v>2009</v>
      </c>
      <c r="B1514" s="2" t="s">
        <v>46</v>
      </c>
      <c r="C1514" s="3">
        <v>0.34</v>
      </c>
    </row>
    <row r="1515" spans="1:3" s="1" customFormat="1" ht="19.75" customHeight="1" x14ac:dyDescent="0.25">
      <c r="A1515" s="7">
        <f>2009</f>
        <v>2009</v>
      </c>
      <c r="B1515" s="2" t="s">
        <v>47</v>
      </c>
      <c r="C1515" s="4">
        <v>193.06</v>
      </c>
    </row>
    <row r="1516" spans="1:3" s="1" customFormat="1" ht="19.75" customHeight="1" x14ac:dyDescent="0.25">
      <c r="A1516" s="7">
        <f>2009</f>
        <v>2009</v>
      </c>
      <c r="B1516" s="2" t="s">
        <v>48</v>
      </c>
      <c r="C1516" s="3">
        <v>728.05780000000004</v>
      </c>
    </row>
    <row r="1517" spans="1:3" s="1" customFormat="1" ht="19.75" customHeight="1" x14ac:dyDescent="0.25">
      <c r="A1517" s="7">
        <f>2009</f>
        <v>2009</v>
      </c>
      <c r="B1517" s="2" t="s">
        <v>99</v>
      </c>
      <c r="C1517" s="4">
        <v>2879.3982000000001</v>
      </c>
    </row>
    <row r="1518" spans="1:3" s="1" customFormat="1" ht="19.75" customHeight="1" x14ac:dyDescent="0.25">
      <c r="A1518" s="7">
        <f>2009</f>
        <v>2009</v>
      </c>
      <c r="B1518" s="2" t="s">
        <v>122</v>
      </c>
      <c r="C1518" s="3">
        <v>-1.1435</v>
      </c>
    </row>
    <row r="1519" spans="1:3" s="1" customFormat="1" ht="19.75" customHeight="1" x14ac:dyDescent="0.25">
      <c r="A1519" s="7">
        <f>2009</f>
        <v>2009</v>
      </c>
      <c r="B1519" s="2" t="s">
        <v>55</v>
      </c>
      <c r="C1519" s="4">
        <v>421.6712</v>
      </c>
    </row>
    <row r="1520" spans="1:3" s="1" customFormat="1" ht="19.75" customHeight="1" x14ac:dyDescent="0.25">
      <c r="A1520" s="7">
        <f>2009</f>
        <v>2009</v>
      </c>
      <c r="B1520" s="2" t="s">
        <v>56</v>
      </c>
      <c r="C1520" s="3">
        <v>0.28999999999999998</v>
      </c>
    </row>
    <row r="1521" spans="1:3" s="1" customFormat="1" ht="19.75" customHeight="1" x14ac:dyDescent="0.25">
      <c r="A1521" s="7">
        <f>2009</f>
        <v>2009</v>
      </c>
      <c r="B1521" s="2" t="s">
        <v>123</v>
      </c>
      <c r="C1521" s="4">
        <v>15.1556</v>
      </c>
    </row>
    <row r="1522" spans="1:3" s="1" customFormat="1" ht="19.75" customHeight="1" x14ac:dyDescent="0.25">
      <c r="A1522" s="7">
        <f>2009</f>
        <v>2009</v>
      </c>
      <c r="B1522" s="2" t="s">
        <v>95</v>
      </c>
      <c r="C1522" s="3">
        <v>1.58</v>
      </c>
    </row>
    <row r="1523" spans="1:3" s="1" customFormat="1" ht="19.75" customHeight="1" x14ac:dyDescent="0.25">
      <c r="A1523" s="7">
        <f>2009</f>
        <v>2009</v>
      </c>
      <c r="B1523" s="2" t="s">
        <v>59</v>
      </c>
      <c r="C1523" s="4">
        <v>4.03</v>
      </c>
    </row>
    <row r="1524" spans="1:3" s="1" customFormat="1" ht="19.75" customHeight="1" x14ac:dyDescent="0.25">
      <c r="A1524" s="7">
        <f>2009</f>
        <v>2009</v>
      </c>
      <c r="B1524" s="2" t="s">
        <v>60</v>
      </c>
      <c r="C1524" s="3">
        <v>30.077000000000002</v>
      </c>
    </row>
    <row r="1525" spans="1:3" s="1" customFormat="1" ht="19.75" customHeight="1" x14ac:dyDescent="0.25">
      <c r="A1525" s="7">
        <f>2009</f>
        <v>2009</v>
      </c>
      <c r="B1525" s="2" t="s">
        <v>61</v>
      </c>
      <c r="C1525" s="4">
        <v>95.18</v>
      </c>
    </row>
    <row r="1526" spans="1:3" s="1" customFormat="1" ht="19.75" customHeight="1" x14ac:dyDescent="0.25">
      <c r="A1526" s="7">
        <f>2009</f>
        <v>2009</v>
      </c>
      <c r="B1526" s="2" t="s">
        <v>64</v>
      </c>
      <c r="C1526" s="3">
        <v>0.09</v>
      </c>
    </row>
    <row r="1527" spans="1:3" s="1" customFormat="1" ht="19.75" customHeight="1" x14ac:dyDescent="0.25">
      <c r="A1527" s="7">
        <f>2009</f>
        <v>2009</v>
      </c>
      <c r="B1527" s="2" t="s">
        <v>67</v>
      </c>
      <c r="C1527" s="4">
        <v>5.17</v>
      </c>
    </row>
    <row r="1528" spans="1:3" s="1" customFormat="1" ht="19.75" customHeight="1" x14ac:dyDescent="0.25">
      <c r="A1528" s="7">
        <f>2009</f>
        <v>2009</v>
      </c>
      <c r="B1528" s="2" t="s">
        <v>68</v>
      </c>
      <c r="C1528" s="3">
        <v>14.51</v>
      </c>
    </row>
    <row r="1529" spans="1:3" s="1" customFormat="1" ht="19.75" customHeight="1" x14ac:dyDescent="0.25">
      <c r="A1529" s="7">
        <f>2009</f>
        <v>2009</v>
      </c>
      <c r="B1529" s="2" t="s">
        <v>69</v>
      </c>
      <c r="C1529" s="4">
        <v>36.170999999999999</v>
      </c>
    </row>
    <row r="1530" spans="1:3" s="1" customFormat="1" ht="19.75" customHeight="1" x14ac:dyDescent="0.25">
      <c r="A1530" s="7">
        <f>2009</f>
        <v>2009</v>
      </c>
      <c r="B1530" s="2" t="s">
        <v>96</v>
      </c>
      <c r="C1530" s="3">
        <v>0.90649999999999997</v>
      </c>
    </row>
    <row r="1531" spans="1:3" s="1" customFormat="1" ht="19.75" customHeight="1" x14ac:dyDescent="0.25">
      <c r="A1531" s="7">
        <f>2009</f>
        <v>2009</v>
      </c>
      <c r="B1531" s="2" t="s">
        <v>71</v>
      </c>
      <c r="C1531" s="4">
        <v>1850.3661</v>
      </c>
    </row>
    <row r="1532" spans="1:3" s="1" customFormat="1" ht="19.75" customHeight="1" x14ac:dyDescent="0.25">
      <c r="A1532" s="7">
        <f>2009</f>
        <v>2009</v>
      </c>
      <c r="B1532" s="2" t="s">
        <v>127</v>
      </c>
      <c r="C1532" s="3">
        <v>1390.89</v>
      </c>
    </row>
    <row r="1533" spans="1:3" s="1" customFormat="1" ht="19.75" customHeight="1" x14ac:dyDescent="0.25">
      <c r="A1533" s="7">
        <f>2009</f>
        <v>2009</v>
      </c>
      <c r="B1533" s="2" t="s">
        <v>74</v>
      </c>
      <c r="C1533" s="4">
        <v>1.5567</v>
      </c>
    </row>
    <row r="1534" spans="1:3" s="1" customFormat="1" ht="19.75" customHeight="1" x14ac:dyDescent="0.25">
      <c r="A1534" s="7">
        <f>2008</f>
        <v>2008</v>
      </c>
      <c r="B1534" s="2" t="s">
        <v>113</v>
      </c>
      <c r="C1534" s="3">
        <v>346.18</v>
      </c>
    </row>
    <row r="1535" spans="1:3" s="1" customFormat="1" ht="19.75" customHeight="1" x14ac:dyDescent="0.25">
      <c r="A1535" s="7">
        <f>2008</f>
        <v>2008</v>
      </c>
      <c r="B1535" s="2" t="s">
        <v>114</v>
      </c>
      <c r="C1535" s="4">
        <v>434.2</v>
      </c>
    </row>
    <row r="1536" spans="1:3" s="1" customFormat="1" ht="19.75" customHeight="1" x14ac:dyDescent="0.25">
      <c r="A1536" s="7">
        <f>2008</f>
        <v>2008</v>
      </c>
      <c r="B1536" s="2" t="s">
        <v>9</v>
      </c>
      <c r="C1536" s="3">
        <v>6378.43</v>
      </c>
    </row>
    <row r="1537" spans="1:3" s="1" customFormat="1" ht="19.75" customHeight="1" x14ac:dyDescent="0.25">
      <c r="A1537" s="7">
        <f>2008</f>
        <v>2008</v>
      </c>
      <c r="B1537" s="2" t="s">
        <v>125</v>
      </c>
      <c r="C1537" s="4">
        <v>217.19</v>
      </c>
    </row>
    <row r="1538" spans="1:3" s="1" customFormat="1" ht="19.75" customHeight="1" x14ac:dyDescent="0.25">
      <c r="A1538" s="7">
        <f>2008</f>
        <v>2008</v>
      </c>
      <c r="B1538" s="2" t="s">
        <v>115</v>
      </c>
      <c r="C1538" s="3">
        <v>248.67</v>
      </c>
    </row>
    <row r="1539" spans="1:3" s="1" customFormat="1" ht="19.75" customHeight="1" x14ac:dyDescent="0.25">
      <c r="A1539" s="7">
        <f>2008</f>
        <v>2008</v>
      </c>
      <c r="B1539" s="2" t="s">
        <v>116</v>
      </c>
      <c r="C1539" s="4">
        <v>464.56</v>
      </c>
    </row>
    <row r="1540" spans="1:3" s="1" customFormat="1" ht="19.75" customHeight="1" x14ac:dyDescent="0.25">
      <c r="A1540" s="7">
        <f>2008</f>
        <v>2008</v>
      </c>
      <c r="B1540" s="2" t="s">
        <v>128</v>
      </c>
      <c r="C1540" s="3">
        <v>124.86</v>
      </c>
    </row>
    <row r="1541" spans="1:3" s="1" customFormat="1" ht="19.75" customHeight="1" x14ac:dyDescent="0.25">
      <c r="A1541" s="7">
        <f>2008</f>
        <v>2008</v>
      </c>
      <c r="B1541" s="2" t="s">
        <v>117</v>
      </c>
      <c r="C1541" s="4">
        <v>322.98</v>
      </c>
    </row>
    <row r="1542" spans="1:3" s="1" customFormat="1" ht="19.75" customHeight="1" x14ac:dyDescent="0.25">
      <c r="A1542" s="7">
        <f>2008</f>
        <v>2008</v>
      </c>
      <c r="B1542" s="2" t="s">
        <v>101</v>
      </c>
      <c r="C1542" s="3">
        <v>504.77</v>
      </c>
    </row>
    <row r="1543" spans="1:3" s="1" customFormat="1" ht="19.75" customHeight="1" x14ac:dyDescent="0.25">
      <c r="A1543" s="7">
        <f>2008</f>
        <v>2008</v>
      </c>
      <c r="B1543" s="2" t="s">
        <v>102</v>
      </c>
      <c r="C1543" s="4">
        <v>481.37</v>
      </c>
    </row>
    <row r="1544" spans="1:3" s="1" customFormat="1" ht="19.75" customHeight="1" x14ac:dyDescent="0.25">
      <c r="A1544" s="7">
        <f>2008</f>
        <v>2008</v>
      </c>
      <c r="B1544" s="2" t="s">
        <v>0</v>
      </c>
      <c r="C1544" s="3">
        <v>1593.03</v>
      </c>
    </row>
    <row r="1545" spans="1:3" s="1" customFormat="1" ht="19.75" customHeight="1" x14ac:dyDescent="0.25">
      <c r="A1545" s="7">
        <f>2008</f>
        <v>2008</v>
      </c>
      <c r="B1545" s="2" t="s">
        <v>1</v>
      </c>
      <c r="C1545" s="4">
        <v>1691.81</v>
      </c>
    </row>
    <row r="1546" spans="1:3" s="1" customFormat="1" ht="19.75" customHeight="1" x14ac:dyDescent="0.25">
      <c r="A1546" s="7">
        <f>2008</f>
        <v>2008</v>
      </c>
      <c r="B1546" s="2" t="s">
        <v>2</v>
      </c>
      <c r="C1546" s="3">
        <v>344.24</v>
      </c>
    </row>
    <row r="1547" spans="1:3" s="1" customFormat="1" ht="19.75" customHeight="1" x14ac:dyDescent="0.25">
      <c r="A1547" s="7">
        <f>2008</f>
        <v>2008</v>
      </c>
      <c r="B1547" s="2" t="s">
        <v>3</v>
      </c>
      <c r="C1547" s="4">
        <v>1394.37</v>
      </c>
    </row>
    <row r="1548" spans="1:3" s="1" customFormat="1" ht="19.75" customHeight="1" x14ac:dyDescent="0.25">
      <c r="A1548" s="7">
        <f>2008</f>
        <v>2008</v>
      </c>
      <c r="B1548" s="2" t="s">
        <v>4</v>
      </c>
      <c r="C1548" s="3">
        <v>718.14</v>
      </c>
    </row>
    <row r="1549" spans="1:3" s="1" customFormat="1" ht="19.75" customHeight="1" x14ac:dyDescent="0.25">
      <c r="A1549" s="7">
        <f>2008</f>
        <v>2008</v>
      </c>
      <c r="B1549" s="2" t="s">
        <v>103</v>
      </c>
      <c r="C1549" s="4">
        <v>516.15</v>
      </c>
    </row>
    <row r="1550" spans="1:3" s="1" customFormat="1" ht="19.75" customHeight="1" x14ac:dyDescent="0.25">
      <c r="A1550" s="7">
        <f>2008</f>
        <v>2008</v>
      </c>
      <c r="B1550" s="2" t="s">
        <v>109</v>
      </c>
      <c r="C1550" s="3">
        <v>326.64999999999998</v>
      </c>
    </row>
    <row r="1551" spans="1:3" s="1" customFormat="1" ht="19.75" customHeight="1" x14ac:dyDescent="0.25">
      <c r="A1551" s="7">
        <f>2008</f>
        <v>2008</v>
      </c>
      <c r="B1551" s="2" t="s">
        <v>5</v>
      </c>
      <c r="C1551" s="4">
        <v>650.55999999999995</v>
      </c>
    </row>
    <row r="1552" spans="1:3" s="1" customFormat="1" ht="19.75" customHeight="1" x14ac:dyDescent="0.25">
      <c r="A1552" s="7">
        <f>2008</f>
        <v>2008</v>
      </c>
      <c r="B1552" s="2" t="s">
        <v>6</v>
      </c>
      <c r="C1552" s="3">
        <v>799.44</v>
      </c>
    </row>
    <row r="1553" spans="1:3" s="1" customFormat="1" ht="19.75" customHeight="1" x14ac:dyDescent="0.25">
      <c r="A1553" s="7">
        <f>2008</f>
        <v>2008</v>
      </c>
      <c r="B1553" s="2" t="s">
        <v>104</v>
      </c>
      <c r="C1553" s="4">
        <v>378.1</v>
      </c>
    </row>
    <row r="1554" spans="1:3" s="1" customFormat="1" ht="19.75" customHeight="1" x14ac:dyDescent="0.25">
      <c r="A1554" s="7">
        <f>2008</f>
        <v>2008</v>
      </c>
      <c r="B1554" s="2" t="s">
        <v>7</v>
      </c>
      <c r="C1554" s="3">
        <v>160.30000000000001</v>
      </c>
    </row>
    <row r="1555" spans="1:3" s="1" customFormat="1" ht="19.75" customHeight="1" x14ac:dyDescent="0.25">
      <c r="A1555" s="7">
        <f>2008</f>
        <v>2008</v>
      </c>
      <c r="B1555" s="2" t="s">
        <v>8</v>
      </c>
      <c r="C1555" s="4">
        <v>1957.48</v>
      </c>
    </row>
    <row r="1556" spans="1:3" s="1" customFormat="1" ht="19.75" customHeight="1" x14ac:dyDescent="0.25">
      <c r="A1556" s="7">
        <f>2008</f>
        <v>2008</v>
      </c>
      <c r="B1556" s="2" t="s">
        <v>105</v>
      </c>
      <c r="C1556" s="3">
        <v>620.20000000000005</v>
      </c>
    </row>
    <row r="1557" spans="1:3" s="1" customFormat="1" ht="19.75" customHeight="1" x14ac:dyDescent="0.25">
      <c r="A1557" s="7">
        <f>2008</f>
        <v>2008</v>
      </c>
      <c r="B1557" s="2" t="s">
        <v>10</v>
      </c>
      <c r="C1557" s="4">
        <v>541.79</v>
      </c>
    </row>
    <row r="1558" spans="1:3" s="1" customFormat="1" ht="19.75" customHeight="1" x14ac:dyDescent="0.25">
      <c r="A1558" s="7">
        <f>2008</f>
        <v>2008</v>
      </c>
      <c r="B1558" s="2" t="s">
        <v>11</v>
      </c>
      <c r="C1558" s="3">
        <v>1193.31</v>
      </c>
    </row>
    <row r="1559" spans="1:3" s="1" customFormat="1" ht="19.75" customHeight="1" x14ac:dyDescent="0.25">
      <c r="A1559" s="7">
        <f>2008</f>
        <v>2008</v>
      </c>
      <c r="B1559" s="2" t="s">
        <v>106</v>
      </c>
      <c r="C1559" s="4">
        <v>147.99</v>
      </c>
    </row>
    <row r="1560" spans="1:3" s="1" customFormat="1" ht="19.75" customHeight="1" x14ac:dyDescent="0.25">
      <c r="A1560" s="7">
        <f>2008</f>
        <v>2008</v>
      </c>
      <c r="B1560" s="2" t="s">
        <v>110</v>
      </c>
      <c r="C1560" s="3">
        <v>299.60000000000002</v>
      </c>
    </row>
    <row r="1561" spans="1:3" s="1" customFormat="1" ht="19.75" customHeight="1" x14ac:dyDescent="0.25">
      <c r="A1561" s="7">
        <f>2008</f>
        <v>2008</v>
      </c>
      <c r="B1561" s="2" t="s">
        <v>129</v>
      </c>
      <c r="C1561" s="4">
        <v>570</v>
      </c>
    </row>
    <row r="1562" spans="1:3" s="1" customFormat="1" ht="19.75" customHeight="1" x14ac:dyDescent="0.25">
      <c r="A1562" s="7">
        <f>2008</f>
        <v>2008</v>
      </c>
      <c r="B1562" s="2" t="s">
        <v>12</v>
      </c>
      <c r="C1562" s="3">
        <v>1154.8900000000001</v>
      </c>
    </row>
    <row r="1563" spans="1:3" s="1" customFormat="1" ht="19.75" customHeight="1" x14ac:dyDescent="0.25">
      <c r="A1563" s="7">
        <f>2008</f>
        <v>2008</v>
      </c>
      <c r="B1563" s="2" t="s">
        <v>126</v>
      </c>
      <c r="C1563" s="4">
        <v>56.08</v>
      </c>
    </row>
    <row r="1564" spans="1:3" s="1" customFormat="1" ht="19.75" customHeight="1" x14ac:dyDescent="0.25">
      <c r="A1564" s="7">
        <f>2008</f>
        <v>2008</v>
      </c>
      <c r="B1564" s="2" t="s">
        <v>130</v>
      </c>
      <c r="C1564" s="3">
        <v>235.88</v>
      </c>
    </row>
    <row r="1565" spans="1:3" s="1" customFormat="1" ht="19.75" customHeight="1" x14ac:dyDescent="0.25">
      <c r="A1565" s="7">
        <f>2008</f>
        <v>2008</v>
      </c>
      <c r="B1565" s="2" t="s">
        <v>14</v>
      </c>
      <c r="C1565" s="4">
        <v>78.42</v>
      </c>
    </row>
    <row r="1566" spans="1:3" s="1" customFormat="1" ht="19.75" customHeight="1" x14ac:dyDescent="0.25">
      <c r="A1566" s="7">
        <f>2008</f>
        <v>2008</v>
      </c>
      <c r="B1566" s="2" t="s">
        <v>15</v>
      </c>
      <c r="C1566" s="3">
        <v>36.92</v>
      </c>
    </row>
    <row r="1567" spans="1:3" s="1" customFormat="1" ht="19.75" customHeight="1" x14ac:dyDescent="0.25">
      <c r="A1567" s="7">
        <f>2008</f>
        <v>2008</v>
      </c>
      <c r="B1567" s="2" t="s">
        <v>16</v>
      </c>
      <c r="C1567" s="4">
        <v>71.28</v>
      </c>
    </row>
    <row r="1568" spans="1:3" s="1" customFormat="1" ht="19.75" customHeight="1" x14ac:dyDescent="0.25">
      <c r="A1568" s="7">
        <f>2008</f>
        <v>2008</v>
      </c>
      <c r="B1568" s="2" t="s">
        <v>18</v>
      </c>
      <c r="C1568" s="3">
        <v>426.07</v>
      </c>
    </row>
    <row r="1569" spans="1:3" s="1" customFormat="1" ht="19.75" customHeight="1" x14ac:dyDescent="0.25">
      <c r="A1569" s="7">
        <f>2008</f>
        <v>2008</v>
      </c>
      <c r="B1569" s="2" t="s">
        <v>19</v>
      </c>
      <c r="C1569" s="4">
        <v>2175.23</v>
      </c>
    </row>
    <row r="1570" spans="1:3" s="1" customFormat="1" ht="19.75" customHeight="1" x14ac:dyDescent="0.25">
      <c r="A1570" s="7">
        <f>2008</f>
        <v>2008</v>
      </c>
      <c r="B1570" s="2" t="s">
        <v>20</v>
      </c>
      <c r="C1570" s="3">
        <v>3802.95</v>
      </c>
    </row>
    <row r="1571" spans="1:3" s="1" customFormat="1" ht="19.75" customHeight="1" x14ac:dyDescent="0.25">
      <c r="A1571" s="7">
        <f>2008</f>
        <v>2008</v>
      </c>
      <c r="B1571" s="2" t="s">
        <v>23</v>
      </c>
      <c r="C1571" s="4">
        <v>121.14</v>
      </c>
    </row>
    <row r="1572" spans="1:3" s="1" customFormat="1" ht="19.75" customHeight="1" x14ac:dyDescent="0.25">
      <c r="A1572" s="7">
        <f>2008</f>
        <v>2008</v>
      </c>
      <c r="B1572" s="2" t="s">
        <v>121</v>
      </c>
      <c r="C1572" s="3">
        <v>150.5378</v>
      </c>
    </row>
    <row r="1573" spans="1:3" s="1" customFormat="1" ht="19.75" customHeight="1" x14ac:dyDescent="0.25">
      <c r="A1573" s="7">
        <f>2008</f>
        <v>2008</v>
      </c>
      <c r="B1573" s="2" t="s">
        <v>24</v>
      </c>
      <c r="C1573" s="4">
        <v>291.83</v>
      </c>
    </row>
    <row r="1574" spans="1:3" s="1" customFormat="1" ht="19.75" customHeight="1" x14ac:dyDescent="0.25">
      <c r="A1574" s="7">
        <f>2008</f>
        <v>2008</v>
      </c>
      <c r="B1574" s="2" t="s">
        <v>25</v>
      </c>
      <c r="C1574" s="3">
        <v>148.86000000000001</v>
      </c>
    </row>
    <row r="1575" spans="1:3" s="1" customFormat="1" ht="19.75" customHeight="1" x14ac:dyDescent="0.25">
      <c r="A1575" s="7">
        <f>2008</f>
        <v>2008</v>
      </c>
      <c r="B1575" s="2" t="s">
        <v>26</v>
      </c>
      <c r="C1575" s="4">
        <v>99.43</v>
      </c>
    </row>
    <row r="1576" spans="1:3" s="1" customFormat="1" ht="19.75" customHeight="1" x14ac:dyDescent="0.25">
      <c r="A1576" s="7">
        <f>2008</f>
        <v>2008</v>
      </c>
      <c r="B1576" s="2" t="s">
        <v>27</v>
      </c>
      <c r="C1576" s="3">
        <v>375.97</v>
      </c>
    </row>
    <row r="1577" spans="1:3" s="1" customFormat="1" ht="19.75" customHeight="1" x14ac:dyDescent="0.25">
      <c r="A1577" s="7">
        <f>2008</f>
        <v>2008</v>
      </c>
      <c r="B1577" s="2" t="s">
        <v>107</v>
      </c>
      <c r="C1577" s="4">
        <v>64.89</v>
      </c>
    </row>
    <row r="1578" spans="1:3" s="1" customFormat="1" ht="19.75" customHeight="1" x14ac:dyDescent="0.25">
      <c r="A1578" s="7">
        <f>2008</f>
        <v>2008</v>
      </c>
      <c r="B1578" s="2" t="s">
        <v>28</v>
      </c>
      <c r="C1578" s="3">
        <v>23.84</v>
      </c>
    </row>
    <row r="1579" spans="1:3" s="1" customFormat="1" ht="19.75" customHeight="1" x14ac:dyDescent="0.25">
      <c r="A1579" s="7">
        <f>2008</f>
        <v>2008</v>
      </c>
      <c r="B1579" s="2" t="s">
        <v>29</v>
      </c>
      <c r="C1579" s="4">
        <v>16.87</v>
      </c>
    </row>
    <row r="1580" spans="1:3" s="1" customFormat="1" ht="19.75" customHeight="1" x14ac:dyDescent="0.25">
      <c r="A1580" s="7">
        <f>2008</f>
        <v>2008</v>
      </c>
      <c r="B1580" s="2" t="s">
        <v>124</v>
      </c>
      <c r="C1580" s="3">
        <v>-0.48039999999999999</v>
      </c>
    </row>
    <row r="1581" spans="1:3" s="1" customFormat="1" ht="19.75" customHeight="1" x14ac:dyDescent="0.25">
      <c r="A1581" s="7">
        <f>2008</f>
        <v>2008</v>
      </c>
      <c r="B1581" s="2" t="s">
        <v>30</v>
      </c>
      <c r="C1581" s="4">
        <v>119.03</v>
      </c>
    </row>
    <row r="1582" spans="1:3" s="1" customFormat="1" ht="19.75" customHeight="1" x14ac:dyDescent="0.25">
      <c r="A1582" s="7">
        <f>2008</f>
        <v>2008</v>
      </c>
      <c r="B1582" s="2" t="s">
        <v>31</v>
      </c>
      <c r="C1582" s="3">
        <v>97.67</v>
      </c>
    </row>
    <row r="1583" spans="1:3" s="1" customFormat="1" ht="19.75" customHeight="1" x14ac:dyDescent="0.25">
      <c r="A1583" s="7">
        <f>2008</f>
        <v>2008</v>
      </c>
      <c r="B1583" s="2" t="s">
        <v>32</v>
      </c>
      <c r="C1583" s="4">
        <v>150.06</v>
      </c>
    </row>
    <row r="1584" spans="1:3" s="1" customFormat="1" ht="19.75" customHeight="1" x14ac:dyDescent="0.25">
      <c r="A1584" s="7">
        <f>2008</f>
        <v>2008</v>
      </c>
      <c r="B1584" s="2" t="s">
        <v>17</v>
      </c>
      <c r="C1584" s="3">
        <v>16.04</v>
      </c>
    </row>
    <row r="1585" spans="1:3" s="1" customFormat="1" ht="19.75" customHeight="1" x14ac:dyDescent="0.25">
      <c r="A1585" s="7">
        <f>2008</f>
        <v>2008</v>
      </c>
      <c r="B1585" s="2" t="s">
        <v>93</v>
      </c>
      <c r="C1585" s="4">
        <v>2.6</v>
      </c>
    </row>
    <row r="1586" spans="1:3" s="1" customFormat="1" ht="19.75" customHeight="1" x14ac:dyDescent="0.25">
      <c r="A1586" s="7">
        <f>2008</f>
        <v>2008</v>
      </c>
      <c r="B1586" s="2" t="s">
        <v>98</v>
      </c>
      <c r="C1586" s="3">
        <v>-10.86</v>
      </c>
    </row>
    <row r="1587" spans="1:3" s="1" customFormat="1" ht="19.75" customHeight="1" x14ac:dyDescent="0.25">
      <c r="A1587" s="7">
        <f>2008</f>
        <v>2008</v>
      </c>
      <c r="B1587" s="2" t="s">
        <v>36</v>
      </c>
      <c r="C1587" s="4">
        <v>225.8732</v>
      </c>
    </row>
    <row r="1588" spans="1:3" s="1" customFormat="1" ht="19.75" customHeight="1" x14ac:dyDescent="0.25">
      <c r="A1588" s="7">
        <f>2008</f>
        <v>2008</v>
      </c>
      <c r="B1588" s="2" t="s">
        <v>37</v>
      </c>
      <c r="C1588" s="3">
        <v>-6.4743000000000004</v>
      </c>
    </row>
    <row r="1589" spans="1:3" s="1" customFormat="1" ht="19.75" customHeight="1" x14ac:dyDescent="0.25">
      <c r="A1589" s="7">
        <f>2008</f>
        <v>2008</v>
      </c>
      <c r="B1589" s="2" t="s">
        <v>38</v>
      </c>
      <c r="C1589" s="4">
        <v>5.2</v>
      </c>
    </row>
    <row r="1590" spans="1:3" s="1" customFormat="1" ht="19.75" customHeight="1" x14ac:dyDescent="0.25">
      <c r="A1590" s="7">
        <f>2008</f>
        <v>2008</v>
      </c>
      <c r="B1590" s="2" t="s">
        <v>40</v>
      </c>
      <c r="C1590" s="3">
        <v>68.632999999999996</v>
      </c>
    </row>
    <row r="1591" spans="1:3" s="1" customFormat="1" ht="19.75" customHeight="1" x14ac:dyDescent="0.25">
      <c r="A1591" s="7">
        <f>2008</f>
        <v>2008</v>
      </c>
      <c r="B1591" s="2" t="s">
        <v>41</v>
      </c>
      <c r="C1591" s="4">
        <v>169.76009999999999</v>
      </c>
    </row>
    <row r="1592" spans="1:3" s="1" customFormat="1" ht="19.75" customHeight="1" x14ac:dyDescent="0.25">
      <c r="A1592" s="7">
        <f>2008</f>
        <v>2008</v>
      </c>
      <c r="B1592" s="2" t="s">
        <v>42</v>
      </c>
      <c r="C1592" s="3">
        <v>152.79</v>
      </c>
    </row>
    <row r="1593" spans="1:3" s="1" customFormat="1" ht="19.75" customHeight="1" x14ac:dyDescent="0.25">
      <c r="A1593" s="7">
        <f>2008</f>
        <v>2008</v>
      </c>
      <c r="B1593" s="2" t="s">
        <v>43</v>
      </c>
      <c r="C1593" s="4">
        <v>2115.0300000000002</v>
      </c>
    </row>
    <row r="1594" spans="1:3" s="1" customFormat="1" ht="19.75" customHeight="1" x14ac:dyDescent="0.25">
      <c r="A1594" s="7">
        <f>2008</f>
        <v>2008</v>
      </c>
      <c r="B1594" s="2" t="s">
        <v>45</v>
      </c>
      <c r="C1594" s="3">
        <v>128.94</v>
      </c>
    </row>
    <row r="1595" spans="1:3" s="1" customFormat="1" ht="19.75" customHeight="1" x14ac:dyDescent="0.25">
      <c r="A1595" s="7">
        <f>2008</f>
        <v>2008</v>
      </c>
      <c r="B1595" s="2" t="s">
        <v>46</v>
      </c>
      <c r="C1595" s="4">
        <v>-0.7</v>
      </c>
    </row>
    <row r="1596" spans="1:3" s="1" customFormat="1" ht="19.75" customHeight="1" x14ac:dyDescent="0.25">
      <c r="A1596" s="7">
        <f>2008</f>
        <v>2008</v>
      </c>
      <c r="B1596" s="2" t="s">
        <v>47</v>
      </c>
      <c r="C1596" s="3">
        <v>54.05</v>
      </c>
    </row>
    <row r="1597" spans="1:3" s="1" customFormat="1" ht="19.75" customHeight="1" x14ac:dyDescent="0.25">
      <c r="A1597" s="7">
        <f>2008</f>
        <v>2008</v>
      </c>
      <c r="B1597" s="2" t="s">
        <v>48</v>
      </c>
      <c r="C1597" s="4">
        <v>485.91</v>
      </c>
    </row>
    <row r="1598" spans="1:3" s="1" customFormat="1" ht="19.75" customHeight="1" x14ac:dyDescent="0.25">
      <c r="A1598" s="7">
        <f>2008</f>
        <v>2008</v>
      </c>
      <c r="B1598" s="2" t="s">
        <v>99</v>
      </c>
      <c r="C1598" s="3">
        <v>1742.56</v>
      </c>
    </row>
    <row r="1599" spans="1:3" s="1" customFormat="1" ht="19.75" customHeight="1" x14ac:dyDescent="0.25">
      <c r="A1599" s="7">
        <f>2008</f>
        <v>2008</v>
      </c>
      <c r="B1599" s="2" t="s">
        <v>122</v>
      </c>
      <c r="C1599" s="4">
        <v>-10.459899999999999</v>
      </c>
    </row>
    <row r="1600" spans="1:3" s="1" customFormat="1" ht="19.75" customHeight="1" x14ac:dyDescent="0.25">
      <c r="A1600" s="7">
        <f>2008</f>
        <v>2008</v>
      </c>
      <c r="B1600" s="2" t="s">
        <v>55</v>
      </c>
      <c r="C1600" s="3">
        <v>255.03</v>
      </c>
    </row>
    <row r="1601" spans="1:3" s="1" customFormat="1" ht="19.75" customHeight="1" x14ac:dyDescent="0.25">
      <c r="A1601" s="7">
        <f>2008</f>
        <v>2008</v>
      </c>
      <c r="B1601" s="2" t="s">
        <v>123</v>
      </c>
      <c r="C1601" s="4">
        <v>8.3800000000000008</v>
      </c>
    </row>
    <row r="1602" spans="1:3" s="1" customFormat="1" ht="19.75" customHeight="1" x14ac:dyDescent="0.25">
      <c r="A1602" s="7">
        <f>2008</f>
        <v>2008</v>
      </c>
      <c r="B1602" s="2" t="s">
        <v>95</v>
      </c>
      <c r="C1602" s="3">
        <v>1.64</v>
      </c>
    </row>
    <row r="1603" spans="1:3" s="1" customFormat="1" ht="19.75" customHeight="1" x14ac:dyDescent="0.25">
      <c r="A1603" s="7">
        <f>2008</f>
        <v>2008</v>
      </c>
      <c r="B1603" s="2" t="s">
        <v>59</v>
      </c>
      <c r="C1603" s="4">
        <v>2.5499999999999998</v>
      </c>
    </row>
    <row r="1604" spans="1:3" s="1" customFormat="1" ht="19.75" customHeight="1" x14ac:dyDescent="0.25">
      <c r="A1604" s="7">
        <f>2008</f>
        <v>2008</v>
      </c>
      <c r="B1604" s="2" t="s">
        <v>60</v>
      </c>
      <c r="C1604" s="3">
        <v>14.48</v>
      </c>
    </row>
    <row r="1605" spans="1:3" s="1" customFormat="1" ht="19.75" customHeight="1" x14ac:dyDescent="0.25">
      <c r="A1605" s="7">
        <f>2008</f>
        <v>2008</v>
      </c>
      <c r="B1605" s="2" t="s">
        <v>61</v>
      </c>
      <c r="C1605" s="4">
        <v>64.739999999999995</v>
      </c>
    </row>
    <row r="1606" spans="1:3" s="1" customFormat="1" ht="19.75" customHeight="1" x14ac:dyDescent="0.25">
      <c r="A1606" s="7">
        <f>2008</f>
        <v>2008</v>
      </c>
      <c r="B1606" s="2" t="s">
        <v>64</v>
      </c>
      <c r="C1606" s="3">
        <v>1.89</v>
      </c>
    </row>
    <row r="1607" spans="1:3" s="1" customFormat="1" ht="19.75" customHeight="1" x14ac:dyDescent="0.25">
      <c r="A1607" s="7">
        <f>2008</f>
        <v>2008</v>
      </c>
      <c r="B1607" s="2" t="s">
        <v>67</v>
      </c>
      <c r="C1607" s="4">
        <v>5.41</v>
      </c>
    </row>
    <row r="1608" spans="1:3" s="1" customFormat="1" ht="19.75" customHeight="1" x14ac:dyDescent="0.25">
      <c r="A1608" s="7">
        <f>2008</f>
        <v>2008</v>
      </c>
      <c r="B1608" s="2" t="s">
        <v>68</v>
      </c>
      <c r="C1608" s="3">
        <v>12.72</v>
      </c>
    </row>
    <row r="1609" spans="1:3" s="1" customFormat="1" ht="19.75" customHeight="1" x14ac:dyDescent="0.25">
      <c r="A1609" s="7">
        <f>2008</f>
        <v>2008</v>
      </c>
      <c r="B1609" s="2" t="s">
        <v>69</v>
      </c>
      <c r="C1609" s="4">
        <v>-3.15</v>
      </c>
    </row>
    <row r="1610" spans="1:3" s="1" customFormat="1" ht="19.75" customHeight="1" x14ac:dyDescent="0.25">
      <c r="A1610" s="7">
        <f>2008</f>
        <v>2008</v>
      </c>
      <c r="B1610" s="2" t="s">
        <v>96</v>
      </c>
      <c r="C1610" s="3">
        <v>0.57999999999999996</v>
      </c>
    </row>
    <row r="1611" spans="1:3" s="1" customFormat="1" ht="19.75" customHeight="1" x14ac:dyDescent="0.25">
      <c r="A1611" s="7">
        <f>2008</f>
        <v>2008</v>
      </c>
      <c r="B1611" s="2" t="s">
        <v>71</v>
      </c>
      <c r="C1611" s="4">
        <v>1313.51</v>
      </c>
    </row>
    <row r="1612" spans="1:3" s="1" customFormat="1" ht="19.75" customHeight="1" x14ac:dyDescent="0.25">
      <c r="A1612" s="7">
        <f>2008</f>
        <v>2008</v>
      </c>
      <c r="B1612" s="2" t="s">
        <v>127</v>
      </c>
      <c r="C1612" s="3">
        <v>634.5222</v>
      </c>
    </row>
    <row r="1613" spans="1:3" s="1" customFormat="1" ht="19.75" customHeight="1" x14ac:dyDescent="0.25">
      <c r="A1613" s="7">
        <f>2007</f>
        <v>2007</v>
      </c>
      <c r="B1613" s="2" t="s">
        <v>113</v>
      </c>
      <c r="C1613" s="4">
        <v>373.4</v>
      </c>
    </row>
    <row r="1614" spans="1:3" s="1" customFormat="1" ht="19.75" customHeight="1" x14ac:dyDescent="0.25">
      <c r="A1614" s="7">
        <f>2007</f>
        <v>2007</v>
      </c>
      <c r="B1614" s="2" t="s">
        <v>114</v>
      </c>
      <c r="C1614" s="3">
        <v>498.3</v>
      </c>
    </row>
    <row r="1615" spans="1:3" s="1" customFormat="1" ht="19.75" customHeight="1" x14ac:dyDescent="0.25">
      <c r="A1615" s="7">
        <f>2007</f>
        <v>2007</v>
      </c>
      <c r="B1615" s="2" t="s">
        <v>9</v>
      </c>
      <c r="C1615" s="4">
        <v>5458.63</v>
      </c>
    </row>
    <row r="1616" spans="1:3" s="1" customFormat="1" ht="19.75" customHeight="1" x14ac:dyDescent="0.25">
      <c r="A1616" s="7">
        <f>2007</f>
        <v>2007</v>
      </c>
      <c r="B1616" s="2" t="s">
        <v>125</v>
      </c>
      <c r="C1616" s="3">
        <v>199.01</v>
      </c>
    </row>
    <row r="1617" spans="1:3" s="1" customFormat="1" ht="19.75" customHeight="1" x14ac:dyDescent="0.25">
      <c r="A1617" s="7">
        <f>2007</f>
        <v>2007</v>
      </c>
      <c r="B1617" s="2" t="s">
        <v>115</v>
      </c>
      <c r="C1617" s="4">
        <v>222.35</v>
      </c>
    </row>
    <row r="1618" spans="1:3" s="1" customFormat="1" ht="19.75" customHeight="1" x14ac:dyDescent="0.25">
      <c r="A1618" s="7">
        <f>2007</f>
        <v>2007</v>
      </c>
      <c r="B1618" s="2" t="s">
        <v>116</v>
      </c>
      <c r="C1618" s="3">
        <v>528.13</v>
      </c>
    </row>
    <row r="1619" spans="1:3" s="1" customFormat="1" ht="19.75" customHeight="1" x14ac:dyDescent="0.25">
      <c r="A1619" s="7">
        <f>2007</f>
        <v>2007</v>
      </c>
      <c r="B1619" s="2" t="s">
        <v>128</v>
      </c>
      <c r="C1619" s="4">
        <v>161.37</v>
      </c>
    </row>
    <row r="1620" spans="1:3" s="1" customFormat="1" ht="19.75" customHeight="1" x14ac:dyDescent="0.25">
      <c r="A1620" s="7">
        <f>2007</f>
        <v>2007</v>
      </c>
      <c r="B1620" s="2" t="s">
        <v>117</v>
      </c>
      <c r="C1620" s="3">
        <v>384.21</v>
      </c>
    </row>
    <row r="1621" spans="1:3" s="1" customFormat="1" ht="19.75" customHeight="1" x14ac:dyDescent="0.25">
      <c r="A1621" s="7">
        <f>2007</f>
        <v>2007</v>
      </c>
      <c r="B1621" s="2" t="s">
        <v>101</v>
      </c>
      <c r="C1621" s="4">
        <v>349.77</v>
      </c>
    </row>
    <row r="1622" spans="1:3" s="1" customFormat="1" ht="19.75" customHeight="1" x14ac:dyDescent="0.25">
      <c r="A1622" s="7">
        <f>2007</f>
        <v>2007</v>
      </c>
      <c r="B1622" s="2" t="s">
        <v>102</v>
      </c>
      <c r="C1622" s="3">
        <v>393.33</v>
      </c>
    </row>
    <row r="1623" spans="1:3" s="1" customFormat="1" ht="19.75" customHeight="1" x14ac:dyDescent="0.25">
      <c r="A1623" s="7">
        <f>2007</f>
        <v>2007</v>
      </c>
      <c r="B1623" s="2" t="s">
        <v>0</v>
      </c>
      <c r="C1623" s="4">
        <v>1388.54</v>
      </c>
    </row>
    <row r="1624" spans="1:3" s="1" customFormat="1" ht="19.75" customHeight="1" x14ac:dyDescent="0.25">
      <c r="A1624" s="7">
        <f>2007</f>
        <v>2007</v>
      </c>
      <c r="B1624" s="2" t="s">
        <v>1</v>
      </c>
      <c r="C1624" s="3">
        <v>1271.83</v>
      </c>
    </row>
    <row r="1625" spans="1:3" s="1" customFormat="1" ht="19.75" customHeight="1" x14ac:dyDescent="0.25">
      <c r="A1625" s="7">
        <f>2007</f>
        <v>2007</v>
      </c>
      <c r="B1625" s="2" t="s">
        <v>2</v>
      </c>
      <c r="C1625" s="4">
        <v>341.36</v>
      </c>
    </row>
    <row r="1626" spans="1:3" s="1" customFormat="1" ht="19.75" customHeight="1" x14ac:dyDescent="0.25">
      <c r="A1626" s="7">
        <f>2007</f>
        <v>2007</v>
      </c>
      <c r="B1626" s="2" t="s">
        <v>3</v>
      </c>
      <c r="C1626" s="3">
        <v>1491.66</v>
      </c>
    </row>
    <row r="1627" spans="1:3" s="1" customFormat="1" ht="19.75" customHeight="1" x14ac:dyDescent="0.25">
      <c r="A1627" s="7">
        <f>2007</f>
        <v>2007</v>
      </c>
      <c r="B1627" s="2" t="s">
        <v>4</v>
      </c>
      <c r="C1627" s="4">
        <v>767.71</v>
      </c>
    </row>
    <row r="1628" spans="1:3" s="1" customFormat="1" ht="19.75" customHeight="1" x14ac:dyDescent="0.25">
      <c r="A1628" s="7">
        <f>2007</f>
        <v>2007</v>
      </c>
      <c r="B1628" s="2" t="s">
        <v>103</v>
      </c>
      <c r="C1628" s="3">
        <v>603.9</v>
      </c>
    </row>
    <row r="1629" spans="1:3" s="1" customFormat="1" ht="19.75" customHeight="1" x14ac:dyDescent="0.25">
      <c r="A1629" s="7">
        <f>2007</f>
        <v>2007</v>
      </c>
      <c r="B1629" s="2" t="s">
        <v>109</v>
      </c>
      <c r="C1629" s="4">
        <v>433.81</v>
      </c>
    </row>
    <row r="1630" spans="1:3" s="1" customFormat="1" ht="19.75" customHeight="1" x14ac:dyDescent="0.25">
      <c r="A1630" s="7">
        <f>2007</f>
        <v>2007</v>
      </c>
      <c r="B1630" s="2" t="s">
        <v>5</v>
      </c>
      <c r="C1630" s="3">
        <v>598.82000000000005</v>
      </c>
    </row>
    <row r="1631" spans="1:3" s="1" customFormat="1" ht="19.75" customHeight="1" x14ac:dyDescent="0.25">
      <c r="A1631" s="7">
        <f>2007</f>
        <v>2007</v>
      </c>
      <c r="B1631" s="2" t="s">
        <v>6</v>
      </c>
      <c r="C1631" s="4">
        <v>551.6</v>
      </c>
    </row>
    <row r="1632" spans="1:3" s="1" customFormat="1" ht="19.75" customHeight="1" x14ac:dyDescent="0.25">
      <c r="A1632" s="7">
        <f>2007</f>
        <v>2007</v>
      </c>
      <c r="B1632" s="2" t="s">
        <v>104</v>
      </c>
      <c r="C1632" s="3">
        <v>469.88</v>
      </c>
    </row>
    <row r="1633" spans="1:3" s="1" customFormat="1" ht="19.75" customHeight="1" x14ac:dyDescent="0.25">
      <c r="A1633" s="7">
        <f>2007</f>
        <v>2007</v>
      </c>
      <c r="B1633" s="2" t="s">
        <v>7</v>
      </c>
      <c r="C1633" s="4">
        <v>253.91</v>
      </c>
    </row>
    <row r="1634" spans="1:3" s="1" customFormat="1" ht="19.75" customHeight="1" x14ac:dyDescent="0.25">
      <c r="A1634" s="7">
        <f>2007</f>
        <v>2007</v>
      </c>
      <c r="B1634" s="2" t="s">
        <v>8</v>
      </c>
      <c r="C1634" s="3">
        <v>2077.3200000000002</v>
      </c>
    </row>
    <row r="1635" spans="1:3" s="1" customFormat="1" ht="19.75" customHeight="1" x14ac:dyDescent="0.25">
      <c r="A1635" s="7">
        <f>2007</f>
        <v>2007</v>
      </c>
      <c r="B1635" s="2" t="s">
        <v>105</v>
      </c>
      <c r="C1635" s="4">
        <v>666.49</v>
      </c>
    </row>
    <row r="1636" spans="1:3" s="1" customFormat="1" ht="19.75" customHeight="1" x14ac:dyDescent="0.25">
      <c r="A1636" s="7">
        <f>2007</f>
        <v>2007</v>
      </c>
      <c r="B1636" s="2" t="s">
        <v>10</v>
      </c>
      <c r="C1636" s="3">
        <v>679.59</v>
      </c>
    </row>
    <row r="1637" spans="1:3" s="1" customFormat="1" ht="19.75" customHeight="1" x14ac:dyDescent="0.25">
      <c r="A1637" s="7">
        <f>2007</f>
        <v>2007</v>
      </c>
      <c r="B1637" s="2" t="s">
        <v>11</v>
      </c>
      <c r="C1637" s="4">
        <v>1155.44</v>
      </c>
    </row>
    <row r="1638" spans="1:3" s="1" customFormat="1" ht="19.75" customHeight="1" x14ac:dyDescent="0.25">
      <c r="A1638" s="7">
        <f>2007</f>
        <v>2007</v>
      </c>
      <c r="B1638" s="2" t="s">
        <v>106</v>
      </c>
      <c r="C1638" s="3">
        <v>451.82</v>
      </c>
    </row>
    <row r="1639" spans="1:3" s="1" customFormat="1" ht="19.75" customHeight="1" x14ac:dyDescent="0.25">
      <c r="A1639" s="7">
        <f>2007</f>
        <v>2007</v>
      </c>
      <c r="B1639" s="2" t="s">
        <v>110</v>
      </c>
      <c r="C1639" s="4">
        <v>364.68</v>
      </c>
    </row>
    <row r="1640" spans="1:3" s="1" customFormat="1" ht="19.75" customHeight="1" x14ac:dyDescent="0.25">
      <c r="A1640" s="7">
        <f>2007</f>
        <v>2007</v>
      </c>
      <c r="B1640" s="2" t="s">
        <v>129</v>
      </c>
      <c r="C1640" s="3">
        <v>276.33999999999997</v>
      </c>
    </row>
    <row r="1641" spans="1:3" s="1" customFormat="1" ht="19.75" customHeight="1" x14ac:dyDescent="0.25">
      <c r="A1641" s="7">
        <f>2007</f>
        <v>2007</v>
      </c>
      <c r="B1641" s="2" t="s">
        <v>12</v>
      </c>
      <c r="C1641" s="4">
        <v>604.82000000000005</v>
      </c>
    </row>
    <row r="1642" spans="1:3" s="1" customFormat="1" ht="19.75" customHeight="1" x14ac:dyDescent="0.25">
      <c r="A1642" s="7">
        <f>2007</f>
        <v>2007</v>
      </c>
      <c r="B1642" s="2" t="s">
        <v>126</v>
      </c>
      <c r="C1642" s="3">
        <v>81.23</v>
      </c>
    </row>
    <row r="1643" spans="1:3" s="1" customFormat="1" ht="19.75" customHeight="1" x14ac:dyDescent="0.25">
      <c r="A1643" s="7">
        <f>2007</f>
        <v>2007</v>
      </c>
      <c r="B1643" s="2" t="s">
        <v>130</v>
      </c>
      <c r="C1643" s="4">
        <v>147.82</v>
      </c>
    </row>
    <row r="1644" spans="1:3" s="1" customFormat="1" ht="19.75" customHeight="1" x14ac:dyDescent="0.25">
      <c r="A1644" s="7">
        <f>2007</f>
        <v>2007</v>
      </c>
      <c r="B1644" s="2" t="s">
        <v>14</v>
      </c>
      <c r="C1644" s="3">
        <v>59.67</v>
      </c>
    </row>
    <row r="1645" spans="1:3" s="1" customFormat="1" ht="19.75" customHeight="1" x14ac:dyDescent="0.25">
      <c r="A1645" s="7">
        <f>2007</f>
        <v>2007</v>
      </c>
      <c r="B1645" s="2" t="s">
        <v>15</v>
      </c>
      <c r="C1645" s="4">
        <v>43.57</v>
      </c>
    </row>
    <row r="1646" spans="1:3" s="1" customFormat="1" ht="19.75" customHeight="1" x14ac:dyDescent="0.25">
      <c r="A1646" s="7">
        <f>2007</f>
        <v>2007</v>
      </c>
      <c r="B1646" s="2" t="s">
        <v>16</v>
      </c>
      <c r="C1646" s="3">
        <v>33.6</v>
      </c>
    </row>
    <row r="1647" spans="1:3" s="1" customFormat="1" ht="19.75" customHeight="1" x14ac:dyDescent="0.25">
      <c r="A1647" s="7">
        <f>2007</f>
        <v>2007</v>
      </c>
      <c r="B1647" s="2" t="s">
        <v>18</v>
      </c>
      <c r="C1647" s="4">
        <v>320.25</v>
      </c>
    </row>
    <row r="1648" spans="1:3" s="1" customFormat="1" ht="19.75" customHeight="1" x14ac:dyDescent="0.25">
      <c r="A1648" s="7">
        <f>2007</f>
        <v>2007</v>
      </c>
      <c r="B1648" s="2" t="s">
        <v>19</v>
      </c>
      <c r="C1648" s="3">
        <v>1422.46</v>
      </c>
    </row>
    <row r="1649" spans="1:3" s="1" customFormat="1" ht="19.75" customHeight="1" x14ac:dyDescent="0.25">
      <c r="A1649" s="7">
        <f>2007</f>
        <v>2007</v>
      </c>
      <c r="B1649" s="2" t="s">
        <v>20</v>
      </c>
      <c r="C1649" s="4">
        <v>2764.19</v>
      </c>
    </row>
    <row r="1650" spans="1:3" s="1" customFormat="1" ht="19.75" customHeight="1" x14ac:dyDescent="0.25">
      <c r="A1650" s="7">
        <f>2007</f>
        <v>2007</v>
      </c>
      <c r="B1650" s="2" t="s">
        <v>23</v>
      </c>
      <c r="C1650" s="3">
        <v>103.36</v>
      </c>
    </row>
    <row r="1651" spans="1:3" s="1" customFormat="1" ht="19.75" customHeight="1" x14ac:dyDescent="0.25">
      <c r="A1651" s="7">
        <f>2007</f>
        <v>2007</v>
      </c>
      <c r="B1651" s="2" t="s">
        <v>121</v>
      </c>
      <c r="C1651" s="4">
        <v>137.3954</v>
      </c>
    </row>
    <row r="1652" spans="1:3" s="1" customFormat="1" ht="19.75" customHeight="1" x14ac:dyDescent="0.25">
      <c r="A1652" s="7">
        <f>2007</f>
        <v>2007</v>
      </c>
      <c r="B1652" s="2" t="s">
        <v>24</v>
      </c>
      <c r="C1652" s="3">
        <v>281.13</v>
      </c>
    </row>
    <row r="1653" spans="1:3" s="1" customFormat="1" ht="19.75" customHeight="1" x14ac:dyDescent="0.25">
      <c r="A1653" s="7">
        <f>2007</f>
        <v>2007</v>
      </c>
      <c r="B1653" s="2" t="s">
        <v>25</v>
      </c>
      <c r="C1653" s="4">
        <v>179.55</v>
      </c>
    </row>
    <row r="1654" spans="1:3" s="1" customFormat="1" ht="19.75" customHeight="1" x14ac:dyDescent="0.25">
      <c r="A1654" s="7">
        <f>2007</f>
        <v>2007</v>
      </c>
      <c r="B1654" s="2" t="s">
        <v>26</v>
      </c>
      <c r="C1654" s="3">
        <v>113.77</v>
      </c>
    </row>
    <row r="1655" spans="1:3" s="1" customFormat="1" ht="19.75" customHeight="1" x14ac:dyDescent="0.25">
      <c r="A1655" s="7">
        <f>2007</f>
        <v>2007</v>
      </c>
      <c r="B1655" s="2" t="s">
        <v>27</v>
      </c>
      <c r="C1655" s="4">
        <v>184.45</v>
      </c>
    </row>
    <row r="1656" spans="1:3" s="1" customFormat="1" ht="19.75" customHeight="1" x14ac:dyDescent="0.25">
      <c r="A1656" s="7">
        <f>2007</f>
        <v>2007</v>
      </c>
      <c r="B1656" s="2" t="s">
        <v>107</v>
      </c>
      <c r="C1656" s="3">
        <v>56</v>
      </c>
    </row>
    <row r="1657" spans="1:3" s="1" customFormat="1" ht="19.75" customHeight="1" x14ac:dyDescent="0.25">
      <c r="A1657" s="7">
        <f>2007</f>
        <v>2007</v>
      </c>
      <c r="B1657" s="2" t="s">
        <v>131</v>
      </c>
      <c r="C1657" s="4">
        <v>16.489999999999998</v>
      </c>
    </row>
    <row r="1658" spans="1:3" s="1" customFormat="1" ht="19.75" customHeight="1" x14ac:dyDescent="0.25">
      <c r="A1658" s="7">
        <f>2007</f>
        <v>2007</v>
      </c>
      <c r="B1658" s="2" t="s">
        <v>28</v>
      </c>
      <c r="C1658" s="3">
        <v>20.6</v>
      </c>
    </row>
    <row r="1659" spans="1:3" s="1" customFormat="1" ht="19.75" customHeight="1" x14ac:dyDescent="0.25">
      <c r="A1659" s="7">
        <f>2007</f>
        <v>2007</v>
      </c>
      <c r="B1659" s="2" t="s">
        <v>29</v>
      </c>
      <c r="C1659" s="4">
        <v>3.3607999999999998</v>
      </c>
    </row>
    <row r="1660" spans="1:3" s="1" customFormat="1" ht="19.75" customHeight="1" x14ac:dyDescent="0.25">
      <c r="A1660" s="7">
        <f>2007</f>
        <v>2007</v>
      </c>
      <c r="B1660" s="2" t="s">
        <v>132</v>
      </c>
      <c r="C1660" s="3">
        <v>291.98</v>
      </c>
    </row>
    <row r="1661" spans="1:3" s="1" customFormat="1" ht="19.75" customHeight="1" x14ac:dyDescent="0.25">
      <c r="A1661" s="7">
        <f>2007</f>
        <v>2007</v>
      </c>
      <c r="B1661" s="2" t="s">
        <v>124</v>
      </c>
      <c r="C1661" s="4">
        <v>-1.8479000000000001</v>
      </c>
    </row>
    <row r="1662" spans="1:3" s="1" customFormat="1" ht="19.75" customHeight="1" x14ac:dyDescent="0.25">
      <c r="A1662" s="7">
        <f>2007</f>
        <v>2007</v>
      </c>
      <c r="B1662" s="2" t="s">
        <v>30</v>
      </c>
      <c r="C1662" s="3">
        <v>147.69999999999999</v>
      </c>
    </row>
    <row r="1663" spans="1:3" s="1" customFormat="1" ht="19.75" customHeight="1" x14ac:dyDescent="0.25">
      <c r="A1663" s="7">
        <f>2007</f>
        <v>2007</v>
      </c>
      <c r="B1663" s="2" t="s">
        <v>31</v>
      </c>
      <c r="C1663" s="4">
        <v>125.42</v>
      </c>
    </row>
    <row r="1664" spans="1:3" s="1" customFormat="1" ht="19.75" customHeight="1" x14ac:dyDescent="0.25">
      <c r="A1664" s="7">
        <f>2007</f>
        <v>2007</v>
      </c>
      <c r="B1664" s="2" t="s">
        <v>32</v>
      </c>
      <c r="C1664" s="3">
        <v>78.069999999999993</v>
      </c>
    </row>
    <row r="1665" spans="1:3" s="1" customFormat="1" ht="19.75" customHeight="1" x14ac:dyDescent="0.25">
      <c r="A1665" s="7">
        <f>2007</f>
        <v>2007</v>
      </c>
      <c r="B1665" s="2" t="s">
        <v>17</v>
      </c>
      <c r="C1665" s="4">
        <v>22.5</v>
      </c>
    </row>
    <row r="1666" spans="1:3" s="1" customFormat="1" ht="19.75" customHeight="1" x14ac:dyDescent="0.25">
      <c r="A1666" s="7">
        <f>2007</f>
        <v>2007</v>
      </c>
      <c r="B1666" s="2" t="s">
        <v>93</v>
      </c>
      <c r="C1666" s="3">
        <v>2.2999999999999998</v>
      </c>
    </row>
    <row r="1667" spans="1:3" s="1" customFormat="1" ht="19.75" customHeight="1" x14ac:dyDescent="0.25">
      <c r="A1667" s="7">
        <f>2007</f>
        <v>2007</v>
      </c>
      <c r="B1667" s="2" t="s">
        <v>98</v>
      </c>
      <c r="C1667" s="4">
        <v>8.98</v>
      </c>
    </row>
    <row r="1668" spans="1:3" s="1" customFormat="1" ht="19.75" customHeight="1" x14ac:dyDescent="0.25">
      <c r="A1668" s="7">
        <f>2007</f>
        <v>2007</v>
      </c>
      <c r="B1668" s="2" t="s">
        <v>133</v>
      </c>
      <c r="C1668" s="3">
        <v>110.73</v>
      </c>
    </row>
    <row r="1669" spans="1:3" s="1" customFormat="1" ht="19.75" customHeight="1" x14ac:dyDescent="0.25">
      <c r="A1669" s="7">
        <f>2007</f>
        <v>2007</v>
      </c>
      <c r="B1669" s="2" t="s">
        <v>36</v>
      </c>
      <c r="C1669" s="4">
        <v>158.5</v>
      </c>
    </row>
    <row r="1670" spans="1:3" s="1" customFormat="1" ht="19.75" customHeight="1" x14ac:dyDescent="0.25">
      <c r="A1670" s="7">
        <f>2007</f>
        <v>2007</v>
      </c>
      <c r="B1670" s="2" t="s">
        <v>37</v>
      </c>
      <c r="C1670" s="3">
        <v>14.590199999999999</v>
      </c>
    </row>
    <row r="1671" spans="1:3" s="1" customFormat="1" ht="19.75" customHeight="1" x14ac:dyDescent="0.25">
      <c r="A1671" s="7">
        <f>2007</f>
        <v>2007</v>
      </c>
      <c r="B1671" s="2" t="s">
        <v>38</v>
      </c>
      <c r="C1671" s="4">
        <v>4.96</v>
      </c>
    </row>
    <row r="1672" spans="1:3" s="1" customFormat="1" ht="19.75" customHeight="1" x14ac:dyDescent="0.25">
      <c r="A1672" s="7">
        <f>2007</f>
        <v>2007</v>
      </c>
      <c r="B1672" s="2" t="s">
        <v>40</v>
      </c>
      <c r="C1672" s="3">
        <v>44.091099999999997</v>
      </c>
    </row>
    <row r="1673" spans="1:3" s="1" customFormat="1" ht="19.75" customHeight="1" x14ac:dyDescent="0.25">
      <c r="A1673" s="7">
        <f>2007</f>
        <v>2007</v>
      </c>
      <c r="B1673" s="2" t="s">
        <v>41</v>
      </c>
      <c r="C1673" s="4">
        <v>64.569999999999993</v>
      </c>
    </row>
    <row r="1674" spans="1:3" s="1" customFormat="1" ht="19.75" customHeight="1" x14ac:dyDescent="0.25">
      <c r="A1674" s="7">
        <f>2007</f>
        <v>2007</v>
      </c>
      <c r="B1674" s="2" t="s">
        <v>42</v>
      </c>
      <c r="C1674" s="3">
        <v>74.64</v>
      </c>
    </row>
    <row r="1675" spans="1:3" s="1" customFormat="1" ht="19.75" customHeight="1" x14ac:dyDescent="0.25">
      <c r="A1675" s="7">
        <f>2007</f>
        <v>2007</v>
      </c>
      <c r="B1675" s="2" t="s">
        <v>43</v>
      </c>
      <c r="C1675" s="4">
        <v>1280.45</v>
      </c>
    </row>
    <row r="1676" spans="1:3" s="1" customFormat="1" ht="19.75" customHeight="1" x14ac:dyDescent="0.25">
      <c r="A1676" s="7">
        <f>2007</f>
        <v>2007</v>
      </c>
      <c r="B1676" s="2" t="s">
        <v>45</v>
      </c>
      <c r="C1676" s="3">
        <v>55.59</v>
      </c>
    </row>
    <row r="1677" spans="1:3" s="1" customFormat="1" ht="19.75" customHeight="1" x14ac:dyDescent="0.25">
      <c r="A1677" s="7">
        <f>2007</f>
        <v>2007</v>
      </c>
      <c r="B1677" s="2" t="s">
        <v>46</v>
      </c>
      <c r="C1677" s="4">
        <v>1.29</v>
      </c>
    </row>
    <row r="1678" spans="1:3" s="1" customFormat="1" ht="19.75" customHeight="1" x14ac:dyDescent="0.25">
      <c r="A1678" s="7">
        <f>2007</f>
        <v>2007</v>
      </c>
      <c r="B1678" s="2" t="s">
        <v>47</v>
      </c>
      <c r="C1678" s="3">
        <v>76.631299999999996</v>
      </c>
    </row>
    <row r="1679" spans="1:3" s="1" customFormat="1" ht="19.75" customHeight="1" x14ac:dyDescent="0.25">
      <c r="A1679" s="7">
        <f>2007</f>
        <v>2007</v>
      </c>
      <c r="B1679" s="2" t="s">
        <v>48</v>
      </c>
      <c r="C1679" s="4">
        <v>195.69059999999999</v>
      </c>
    </row>
    <row r="1680" spans="1:3" s="1" customFormat="1" ht="19.75" customHeight="1" x14ac:dyDescent="0.25">
      <c r="A1680" s="7">
        <f>2007</f>
        <v>2007</v>
      </c>
      <c r="B1680" s="2" t="s">
        <v>99</v>
      </c>
      <c r="C1680" s="3">
        <v>1076.77</v>
      </c>
    </row>
    <row r="1681" spans="1:3" s="1" customFormat="1" ht="19.75" customHeight="1" x14ac:dyDescent="0.25">
      <c r="A1681" s="7">
        <f>2007</f>
        <v>2007</v>
      </c>
      <c r="B1681" s="2" t="s">
        <v>122</v>
      </c>
      <c r="C1681" s="4">
        <v>1.1629</v>
      </c>
    </row>
    <row r="1682" spans="1:3" s="1" customFormat="1" ht="19.75" customHeight="1" x14ac:dyDescent="0.25">
      <c r="A1682" s="7">
        <f>2007</f>
        <v>2007</v>
      </c>
      <c r="B1682" s="2" t="s">
        <v>55</v>
      </c>
      <c r="C1682" s="3">
        <v>146.47</v>
      </c>
    </row>
    <row r="1683" spans="1:3" s="1" customFormat="1" ht="19.75" customHeight="1" x14ac:dyDescent="0.25">
      <c r="A1683" s="7">
        <f>2007</f>
        <v>2007</v>
      </c>
      <c r="B1683" s="2" t="s">
        <v>120</v>
      </c>
      <c r="C1683" s="4">
        <v>7.75</v>
      </c>
    </row>
    <row r="1684" spans="1:3" s="1" customFormat="1" ht="19.75" customHeight="1" x14ac:dyDescent="0.25">
      <c r="A1684" s="7">
        <f>2007</f>
        <v>2007</v>
      </c>
      <c r="B1684" s="2" t="s">
        <v>95</v>
      </c>
      <c r="C1684" s="3">
        <v>1.19</v>
      </c>
    </row>
    <row r="1685" spans="1:3" s="1" customFormat="1" ht="19.75" customHeight="1" x14ac:dyDescent="0.25">
      <c r="A1685" s="7">
        <f>2007</f>
        <v>2007</v>
      </c>
      <c r="B1685" s="2" t="s">
        <v>59</v>
      </c>
      <c r="C1685" s="4">
        <v>-1.1399999999999999</v>
      </c>
    </row>
    <row r="1686" spans="1:3" s="1" customFormat="1" ht="19.75" customHeight="1" x14ac:dyDescent="0.25">
      <c r="A1686" s="7">
        <f>2007</f>
        <v>2007</v>
      </c>
      <c r="B1686" s="2" t="s">
        <v>60</v>
      </c>
      <c r="C1686" s="3">
        <v>13.48</v>
      </c>
    </row>
    <row r="1687" spans="1:3" s="1" customFormat="1" ht="19.75" customHeight="1" x14ac:dyDescent="0.25">
      <c r="A1687" s="7">
        <f>2007</f>
        <v>2007</v>
      </c>
      <c r="B1687" s="2" t="s">
        <v>61</v>
      </c>
      <c r="C1687" s="4">
        <v>36.549999999999997</v>
      </c>
    </row>
    <row r="1688" spans="1:3" s="1" customFormat="1" ht="19.75" customHeight="1" x14ac:dyDescent="0.25">
      <c r="A1688" s="7">
        <f>2007</f>
        <v>2007</v>
      </c>
      <c r="B1688" s="2" t="s">
        <v>64</v>
      </c>
      <c r="C1688" s="3">
        <v>-0.1</v>
      </c>
    </row>
    <row r="1689" spans="1:3" s="1" customFormat="1" ht="19.75" customHeight="1" x14ac:dyDescent="0.25">
      <c r="A1689" s="7">
        <f>2007</f>
        <v>2007</v>
      </c>
      <c r="B1689" s="2" t="s">
        <v>67</v>
      </c>
      <c r="C1689" s="4">
        <v>3.79</v>
      </c>
    </row>
    <row r="1690" spans="1:3" s="1" customFormat="1" ht="19.75" customHeight="1" x14ac:dyDescent="0.25">
      <c r="A1690" s="7">
        <f>2007</f>
        <v>2007</v>
      </c>
      <c r="B1690" s="2" t="s">
        <v>68</v>
      </c>
      <c r="C1690" s="3">
        <v>7.14</v>
      </c>
    </row>
    <row r="1691" spans="1:3" s="1" customFormat="1" ht="19.75" customHeight="1" x14ac:dyDescent="0.25">
      <c r="A1691" s="7">
        <f>2007</f>
        <v>2007</v>
      </c>
      <c r="B1691" s="2" t="s">
        <v>69</v>
      </c>
      <c r="C1691" s="4">
        <v>21.06</v>
      </c>
    </row>
    <row r="1692" spans="1:3" s="1" customFormat="1" ht="19.75" customHeight="1" x14ac:dyDescent="0.25">
      <c r="A1692" s="7">
        <f>2007</f>
        <v>2007</v>
      </c>
      <c r="B1692" s="2" t="s">
        <v>96</v>
      </c>
      <c r="C1692" s="3">
        <v>0.55120000000000002</v>
      </c>
    </row>
    <row r="1693" spans="1:3" s="1" customFormat="1" ht="19.75" customHeight="1" x14ac:dyDescent="0.25">
      <c r="A1693" s="7">
        <f>2007</f>
        <v>2007</v>
      </c>
      <c r="B1693" s="2" t="s">
        <v>71</v>
      </c>
      <c r="C1693" s="4">
        <v>973.63</v>
      </c>
    </row>
    <row r="1694" spans="1:3" s="1" customFormat="1" ht="19.75" customHeight="1" x14ac:dyDescent="0.25">
      <c r="A1694" s="7">
        <f>2007</f>
        <v>2007</v>
      </c>
      <c r="B1694" s="2" t="s">
        <v>127</v>
      </c>
      <c r="C1694" s="3">
        <v>652.96</v>
      </c>
    </row>
    <row r="1695" spans="1:3" s="1" customFormat="1" ht="19.75" customHeight="1" x14ac:dyDescent="0.25">
      <c r="A1695" s="7">
        <f>2006</f>
        <v>2006</v>
      </c>
      <c r="B1695" s="2" t="s">
        <v>113</v>
      </c>
      <c r="C1695" s="4">
        <v>335.99</v>
      </c>
    </row>
    <row r="1696" spans="1:3" s="1" customFormat="1" ht="19.75" customHeight="1" x14ac:dyDescent="0.25">
      <c r="A1696" s="7">
        <f>2006</f>
        <v>2006</v>
      </c>
      <c r="B1696" s="2" t="s">
        <v>114</v>
      </c>
      <c r="C1696" s="3">
        <v>441.04</v>
      </c>
    </row>
    <row r="1697" spans="1:3" s="1" customFormat="1" ht="19.75" customHeight="1" x14ac:dyDescent="0.25">
      <c r="A1697" s="7">
        <f>2006</f>
        <v>2006</v>
      </c>
      <c r="B1697" s="2" t="s">
        <v>9</v>
      </c>
      <c r="C1697" s="4">
        <v>6892.55</v>
      </c>
    </row>
    <row r="1698" spans="1:3" s="1" customFormat="1" ht="19.75" customHeight="1" x14ac:dyDescent="0.25">
      <c r="A1698" s="7">
        <f>2006</f>
        <v>2006</v>
      </c>
      <c r="B1698" s="2" t="s">
        <v>125</v>
      </c>
      <c r="C1698" s="3">
        <v>250.14</v>
      </c>
    </row>
    <row r="1699" spans="1:3" s="1" customFormat="1" ht="19.75" customHeight="1" x14ac:dyDescent="0.25">
      <c r="A1699" s="7">
        <f>2006</f>
        <v>2006</v>
      </c>
      <c r="B1699" s="2" t="s">
        <v>115</v>
      </c>
      <c r="C1699" s="4">
        <v>221.14</v>
      </c>
    </row>
    <row r="1700" spans="1:3" s="1" customFormat="1" ht="19.75" customHeight="1" x14ac:dyDescent="0.25">
      <c r="A1700" s="7">
        <f>2006</f>
        <v>2006</v>
      </c>
      <c r="B1700" s="2" t="s">
        <v>116</v>
      </c>
      <c r="C1700" s="3">
        <v>429.05</v>
      </c>
    </row>
    <row r="1701" spans="1:3" s="1" customFormat="1" ht="19.75" customHeight="1" x14ac:dyDescent="0.25">
      <c r="A1701" s="7">
        <f>2006</f>
        <v>2006</v>
      </c>
      <c r="B1701" s="2" t="s">
        <v>128</v>
      </c>
      <c r="C1701" s="4">
        <v>215.73</v>
      </c>
    </row>
    <row r="1702" spans="1:3" s="1" customFormat="1" ht="19.75" customHeight="1" x14ac:dyDescent="0.25">
      <c r="A1702" s="7">
        <f>2006</f>
        <v>2006</v>
      </c>
      <c r="B1702" s="2" t="s">
        <v>117</v>
      </c>
      <c r="C1702" s="3">
        <v>415.16</v>
      </c>
    </row>
    <row r="1703" spans="1:3" s="1" customFormat="1" ht="19.75" customHeight="1" x14ac:dyDescent="0.25">
      <c r="A1703" s="7">
        <f>2006</f>
        <v>2006</v>
      </c>
      <c r="B1703" s="2" t="s">
        <v>101</v>
      </c>
      <c r="C1703" s="4">
        <v>318.02</v>
      </c>
    </row>
    <row r="1704" spans="1:3" s="1" customFormat="1" ht="19.75" customHeight="1" x14ac:dyDescent="0.25">
      <c r="A1704" s="7">
        <f>2006</f>
        <v>2006</v>
      </c>
      <c r="B1704" s="2" t="s">
        <v>102</v>
      </c>
      <c r="C1704" s="3">
        <v>217.09</v>
      </c>
    </row>
    <row r="1705" spans="1:3" s="1" customFormat="1" ht="19.75" customHeight="1" x14ac:dyDescent="0.25">
      <c r="A1705" s="7">
        <f>2006</f>
        <v>2006</v>
      </c>
      <c r="B1705" s="2" t="s">
        <v>0</v>
      </c>
      <c r="C1705" s="4">
        <v>1090.55</v>
      </c>
    </row>
    <row r="1706" spans="1:3" s="1" customFormat="1" ht="19.75" customHeight="1" x14ac:dyDescent="0.25">
      <c r="A1706" s="7">
        <f>2006</f>
        <v>2006</v>
      </c>
      <c r="B1706" s="2" t="s">
        <v>1</v>
      </c>
      <c r="C1706" s="3">
        <v>999.78</v>
      </c>
    </row>
    <row r="1707" spans="1:3" s="1" customFormat="1" ht="19.75" customHeight="1" x14ac:dyDescent="0.25">
      <c r="A1707" s="7">
        <f>2006</f>
        <v>2006</v>
      </c>
      <c r="B1707" s="2" t="s">
        <v>2</v>
      </c>
      <c r="C1707" s="4">
        <v>314.27999999999997</v>
      </c>
    </row>
    <row r="1708" spans="1:3" s="1" customFormat="1" ht="19.75" customHeight="1" x14ac:dyDescent="0.25">
      <c r="A1708" s="7">
        <f>2006</f>
        <v>2006</v>
      </c>
      <c r="B1708" s="2" t="s">
        <v>3</v>
      </c>
      <c r="C1708" s="3">
        <v>1206.72</v>
      </c>
    </row>
    <row r="1709" spans="1:3" s="1" customFormat="1" ht="19.75" customHeight="1" x14ac:dyDescent="0.25">
      <c r="A1709" s="7">
        <f>2006</f>
        <v>2006</v>
      </c>
      <c r="B1709" s="2" t="s">
        <v>4</v>
      </c>
      <c r="C1709" s="4">
        <v>937.25</v>
      </c>
    </row>
    <row r="1710" spans="1:3" s="1" customFormat="1" ht="19.75" customHeight="1" x14ac:dyDescent="0.25">
      <c r="A1710" s="7">
        <f>2006</f>
        <v>2006</v>
      </c>
      <c r="B1710" s="2" t="s">
        <v>103</v>
      </c>
      <c r="C1710" s="3">
        <v>509.16</v>
      </c>
    </row>
    <row r="1711" spans="1:3" s="1" customFormat="1" ht="19.75" customHeight="1" x14ac:dyDescent="0.25">
      <c r="A1711" s="7">
        <f>2006</f>
        <v>2006</v>
      </c>
      <c r="B1711" s="2" t="s">
        <v>109</v>
      </c>
      <c r="C1711" s="4">
        <v>527.37</v>
      </c>
    </row>
    <row r="1712" spans="1:3" s="1" customFormat="1" ht="19.75" customHeight="1" x14ac:dyDescent="0.25">
      <c r="A1712" s="7">
        <f>2006</f>
        <v>2006</v>
      </c>
      <c r="B1712" s="2" t="s">
        <v>5</v>
      </c>
      <c r="C1712" s="3">
        <v>389.17</v>
      </c>
    </row>
    <row r="1713" spans="1:3" s="1" customFormat="1" ht="19.75" customHeight="1" x14ac:dyDescent="0.25">
      <c r="A1713" s="7">
        <f>2006</f>
        <v>2006</v>
      </c>
      <c r="B1713" s="2" t="s">
        <v>6</v>
      </c>
      <c r="C1713" s="4">
        <v>563.4</v>
      </c>
    </row>
    <row r="1714" spans="1:3" s="1" customFormat="1" ht="19.75" customHeight="1" x14ac:dyDescent="0.25">
      <c r="A1714" s="7">
        <f>2006</f>
        <v>2006</v>
      </c>
      <c r="B1714" s="2" t="s">
        <v>104</v>
      </c>
      <c r="C1714" s="3">
        <v>388.81</v>
      </c>
    </row>
    <row r="1715" spans="1:3" s="1" customFormat="1" ht="19.75" customHeight="1" x14ac:dyDescent="0.25">
      <c r="A1715" s="7">
        <f>2006</f>
        <v>2006</v>
      </c>
      <c r="B1715" s="2" t="s">
        <v>7</v>
      </c>
      <c r="C1715" s="4">
        <v>159.27000000000001</v>
      </c>
    </row>
    <row r="1716" spans="1:3" s="1" customFormat="1" ht="19.75" customHeight="1" x14ac:dyDescent="0.25">
      <c r="A1716" s="7">
        <f>2006</f>
        <v>2006</v>
      </c>
      <c r="B1716" s="2" t="s">
        <v>8</v>
      </c>
      <c r="C1716" s="3">
        <v>1477.8</v>
      </c>
    </row>
    <row r="1717" spans="1:3" s="1" customFormat="1" ht="19.75" customHeight="1" x14ac:dyDescent="0.25">
      <c r="A1717" s="7">
        <f>2006</f>
        <v>2006</v>
      </c>
      <c r="B1717" s="2" t="s">
        <v>105</v>
      </c>
      <c r="C1717" s="4">
        <v>471.53</v>
      </c>
    </row>
    <row r="1718" spans="1:3" s="1" customFormat="1" ht="19.75" customHeight="1" x14ac:dyDescent="0.25">
      <c r="A1718" s="7">
        <f>2006</f>
        <v>2006</v>
      </c>
      <c r="B1718" s="2" t="s">
        <v>10</v>
      </c>
      <c r="C1718" s="3">
        <v>565.78</v>
      </c>
    </row>
    <row r="1719" spans="1:3" s="1" customFormat="1" ht="19.75" customHeight="1" x14ac:dyDescent="0.25">
      <c r="A1719" s="7">
        <f>2006</f>
        <v>2006</v>
      </c>
      <c r="B1719" s="2" t="s">
        <v>11</v>
      </c>
      <c r="C1719" s="4">
        <v>791.17</v>
      </c>
    </row>
    <row r="1720" spans="1:3" s="1" customFormat="1" ht="19.75" customHeight="1" x14ac:dyDescent="0.25">
      <c r="A1720" s="7">
        <f>2006</f>
        <v>2006</v>
      </c>
      <c r="B1720" s="2" t="s">
        <v>106</v>
      </c>
      <c r="C1720" s="3">
        <v>439.29</v>
      </c>
    </row>
    <row r="1721" spans="1:3" s="1" customFormat="1" ht="19.75" customHeight="1" x14ac:dyDescent="0.25">
      <c r="A1721" s="7">
        <f>2006</f>
        <v>2006</v>
      </c>
      <c r="B1721" s="2" t="s">
        <v>110</v>
      </c>
      <c r="C1721" s="4">
        <v>506.13</v>
      </c>
    </row>
    <row r="1722" spans="1:3" s="1" customFormat="1" ht="19.75" customHeight="1" x14ac:dyDescent="0.25">
      <c r="A1722" s="7">
        <f>2006</f>
        <v>2006</v>
      </c>
      <c r="B1722" s="2" t="s">
        <v>129</v>
      </c>
      <c r="C1722" s="3">
        <v>239.97</v>
      </c>
    </row>
    <row r="1723" spans="1:3" s="1" customFormat="1" ht="19.75" customHeight="1" x14ac:dyDescent="0.25">
      <c r="A1723" s="7">
        <f>2006</f>
        <v>2006</v>
      </c>
      <c r="B1723" s="2" t="s">
        <v>12</v>
      </c>
      <c r="C1723" s="4">
        <v>508.73</v>
      </c>
    </row>
    <row r="1724" spans="1:3" s="1" customFormat="1" ht="19.75" customHeight="1" x14ac:dyDescent="0.25">
      <c r="A1724" s="7">
        <f>2006</f>
        <v>2006</v>
      </c>
      <c r="B1724" s="2" t="s">
        <v>126</v>
      </c>
      <c r="C1724" s="3">
        <v>4.37</v>
      </c>
    </row>
    <row r="1725" spans="1:3" s="1" customFormat="1" ht="19.75" customHeight="1" x14ac:dyDescent="0.25">
      <c r="A1725" s="7">
        <f>2006</f>
        <v>2006</v>
      </c>
      <c r="B1725" s="2" t="s">
        <v>134</v>
      </c>
      <c r="C1725" s="4">
        <v>39.840000000000003</v>
      </c>
    </row>
    <row r="1726" spans="1:3" s="1" customFormat="1" ht="19.75" customHeight="1" x14ac:dyDescent="0.25">
      <c r="A1726" s="7">
        <f>2006</f>
        <v>2006</v>
      </c>
      <c r="B1726" s="2" t="s">
        <v>130</v>
      </c>
      <c r="C1726" s="3">
        <v>84.84</v>
      </c>
    </row>
    <row r="1727" spans="1:3" s="1" customFormat="1" ht="19.75" customHeight="1" x14ac:dyDescent="0.25">
      <c r="A1727" s="7">
        <f>2006</f>
        <v>2006</v>
      </c>
      <c r="B1727" s="2" t="s">
        <v>14</v>
      </c>
      <c r="C1727" s="4">
        <v>52.78</v>
      </c>
    </row>
    <row r="1728" spans="1:3" s="1" customFormat="1" ht="19.75" customHeight="1" x14ac:dyDescent="0.25">
      <c r="A1728" s="7">
        <f>2006</f>
        <v>2006</v>
      </c>
      <c r="B1728" s="2" t="s">
        <v>15</v>
      </c>
      <c r="C1728" s="3">
        <v>30.85</v>
      </c>
    </row>
    <row r="1729" spans="1:3" s="1" customFormat="1" ht="19.75" customHeight="1" x14ac:dyDescent="0.25">
      <c r="A1729" s="7">
        <f>2006</f>
        <v>2006</v>
      </c>
      <c r="B1729" s="2" t="s">
        <v>16</v>
      </c>
      <c r="C1729" s="4">
        <v>65.59</v>
      </c>
    </row>
    <row r="1730" spans="1:3" s="1" customFormat="1" ht="19.75" customHeight="1" x14ac:dyDescent="0.25">
      <c r="A1730" s="7">
        <f>2006</f>
        <v>2006</v>
      </c>
      <c r="B1730" s="2" t="s">
        <v>18</v>
      </c>
      <c r="C1730" s="3">
        <v>226.97</v>
      </c>
    </row>
    <row r="1731" spans="1:3" s="1" customFormat="1" ht="19.75" customHeight="1" x14ac:dyDescent="0.25">
      <c r="A1731" s="7">
        <f>2006</f>
        <v>2006</v>
      </c>
      <c r="B1731" s="2" t="s">
        <v>135</v>
      </c>
      <c r="C1731" s="4">
        <v>3.2507999999999999</v>
      </c>
    </row>
    <row r="1732" spans="1:3" s="1" customFormat="1" ht="19.75" customHeight="1" x14ac:dyDescent="0.25">
      <c r="A1732" s="7">
        <f>2006</f>
        <v>2006</v>
      </c>
      <c r="B1732" s="2" t="s">
        <v>19</v>
      </c>
      <c r="C1732" s="3">
        <v>1107.95</v>
      </c>
    </row>
    <row r="1733" spans="1:3" s="1" customFormat="1" ht="19.75" customHeight="1" x14ac:dyDescent="0.25">
      <c r="A1733" s="7">
        <f>2006</f>
        <v>2006</v>
      </c>
      <c r="B1733" s="2" t="s">
        <v>20</v>
      </c>
      <c r="C1733" s="4">
        <v>1348.33</v>
      </c>
    </row>
    <row r="1734" spans="1:3" s="1" customFormat="1" ht="19.75" customHeight="1" x14ac:dyDescent="0.25">
      <c r="A1734" s="7">
        <f>2006</f>
        <v>2006</v>
      </c>
      <c r="B1734" s="2" t="s">
        <v>23</v>
      </c>
      <c r="C1734" s="3">
        <v>150.47999999999999</v>
      </c>
    </row>
    <row r="1735" spans="1:3" s="1" customFormat="1" ht="19.75" customHeight="1" x14ac:dyDescent="0.25">
      <c r="A1735" s="7">
        <f>2006</f>
        <v>2006</v>
      </c>
      <c r="B1735" s="2" t="s">
        <v>121</v>
      </c>
      <c r="C1735" s="4">
        <v>92.51</v>
      </c>
    </row>
    <row r="1736" spans="1:3" s="1" customFormat="1" ht="19.75" customHeight="1" x14ac:dyDescent="0.25">
      <c r="A1736" s="7">
        <f>2006</f>
        <v>2006</v>
      </c>
      <c r="B1736" s="2" t="s">
        <v>24</v>
      </c>
      <c r="C1736" s="3">
        <v>252.48</v>
      </c>
    </row>
    <row r="1737" spans="1:3" s="1" customFormat="1" ht="19.75" customHeight="1" x14ac:dyDescent="0.25">
      <c r="A1737" s="7">
        <f>2006</f>
        <v>2006</v>
      </c>
      <c r="B1737" s="2" t="s">
        <v>25</v>
      </c>
      <c r="C1737" s="4">
        <v>152.26</v>
      </c>
    </row>
    <row r="1738" spans="1:3" s="1" customFormat="1" ht="19.75" customHeight="1" x14ac:dyDescent="0.25">
      <c r="A1738" s="7">
        <f>2006</f>
        <v>2006</v>
      </c>
      <c r="B1738" s="2" t="s">
        <v>26</v>
      </c>
      <c r="C1738" s="3">
        <v>93.29</v>
      </c>
    </row>
    <row r="1739" spans="1:3" s="1" customFormat="1" ht="19.75" customHeight="1" x14ac:dyDescent="0.25">
      <c r="A1739" s="7">
        <f>2006</f>
        <v>2006</v>
      </c>
      <c r="B1739" s="2" t="s">
        <v>27</v>
      </c>
      <c r="C1739" s="4">
        <v>92.332599999999999</v>
      </c>
    </row>
    <row r="1740" spans="1:3" s="1" customFormat="1" ht="19.75" customHeight="1" x14ac:dyDescent="0.25">
      <c r="A1740" s="7">
        <f>2006</f>
        <v>2006</v>
      </c>
      <c r="B1740" s="2" t="s">
        <v>107</v>
      </c>
      <c r="C1740" s="3">
        <v>17.45</v>
      </c>
    </row>
    <row r="1741" spans="1:3" s="1" customFormat="1" ht="19.75" customHeight="1" x14ac:dyDescent="0.25">
      <c r="A1741" s="7">
        <f>2006</f>
        <v>2006</v>
      </c>
      <c r="B1741" s="2" t="s">
        <v>131</v>
      </c>
      <c r="C1741" s="4">
        <v>-2.63</v>
      </c>
    </row>
    <row r="1742" spans="1:3" s="1" customFormat="1" ht="19.75" customHeight="1" x14ac:dyDescent="0.25">
      <c r="A1742" s="7">
        <f>2006</f>
        <v>2006</v>
      </c>
      <c r="B1742" s="2" t="s">
        <v>28</v>
      </c>
      <c r="C1742" s="3">
        <v>15.73</v>
      </c>
    </row>
    <row r="1743" spans="1:3" s="1" customFormat="1" ht="19.75" customHeight="1" x14ac:dyDescent="0.25">
      <c r="A1743" s="7">
        <f>2006</f>
        <v>2006</v>
      </c>
      <c r="B1743" s="2" t="s">
        <v>29</v>
      </c>
      <c r="C1743" s="4">
        <v>12.3926</v>
      </c>
    </row>
    <row r="1744" spans="1:3" s="1" customFormat="1" ht="19.75" customHeight="1" x14ac:dyDescent="0.25">
      <c r="A1744" s="7">
        <f>2006</f>
        <v>2006</v>
      </c>
      <c r="B1744" s="2" t="s">
        <v>132</v>
      </c>
      <c r="C1744" s="3">
        <v>20.34</v>
      </c>
    </row>
    <row r="1745" spans="1:3" s="1" customFormat="1" ht="19.75" customHeight="1" x14ac:dyDescent="0.25">
      <c r="A1745" s="7">
        <f>2006</f>
        <v>2006</v>
      </c>
      <c r="B1745" s="2" t="s">
        <v>124</v>
      </c>
      <c r="C1745" s="4">
        <v>14.2616</v>
      </c>
    </row>
    <row r="1746" spans="1:3" s="1" customFormat="1" ht="19.75" customHeight="1" x14ac:dyDescent="0.25">
      <c r="A1746" s="7">
        <f>2006</f>
        <v>2006</v>
      </c>
      <c r="B1746" s="2" t="s">
        <v>30</v>
      </c>
      <c r="C1746" s="3">
        <v>105.4847</v>
      </c>
    </row>
    <row r="1747" spans="1:3" s="1" customFormat="1" ht="19.75" customHeight="1" x14ac:dyDescent="0.25">
      <c r="A1747" s="7">
        <f>2006</f>
        <v>2006</v>
      </c>
      <c r="B1747" s="2" t="s">
        <v>31</v>
      </c>
      <c r="C1747" s="4">
        <v>93.12</v>
      </c>
    </row>
    <row r="1748" spans="1:3" s="1" customFormat="1" ht="19.75" customHeight="1" x14ac:dyDescent="0.25">
      <c r="A1748" s="7">
        <f>2006</f>
        <v>2006</v>
      </c>
      <c r="B1748" s="2" t="s">
        <v>32</v>
      </c>
      <c r="C1748" s="3">
        <v>43.76</v>
      </c>
    </row>
    <row r="1749" spans="1:3" s="1" customFormat="1" ht="19.75" customHeight="1" x14ac:dyDescent="0.25">
      <c r="A1749" s="7">
        <f>2006</f>
        <v>2006</v>
      </c>
      <c r="B1749" s="2" t="s">
        <v>17</v>
      </c>
      <c r="C1749" s="4">
        <v>13.58</v>
      </c>
    </row>
    <row r="1750" spans="1:3" s="1" customFormat="1" ht="19.75" customHeight="1" x14ac:dyDescent="0.25">
      <c r="A1750" s="7">
        <f>2006</f>
        <v>2006</v>
      </c>
      <c r="B1750" s="2" t="s">
        <v>136</v>
      </c>
      <c r="C1750" s="3">
        <v>147.1</v>
      </c>
    </row>
    <row r="1751" spans="1:3" s="1" customFormat="1" ht="19.75" customHeight="1" x14ac:dyDescent="0.25">
      <c r="A1751" s="7">
        <f>2006</f>
        <v>2006</v>
      </c>
      <c r="B1751" s="2" t="s">
        <v>93</v>
      </c>
      <c r="C1751" s="4">
        <v>2.2599999999999998</v>
      </c>
    </row>
    <row r="1752" spans="1:3" s="1" customFormat="1" ht="19.75" customHeight="1" x14ac:dyDescent="0.25">
      <c r="A1752" s="7">
        <f>2006</f>
        <v>2006</v>
      </c>
      <c r="B1752" s="2" t="s">
        <v>98</v>
      </c>
      <c r="C1752" s="3">
        <v>-0.67</v>
      </c>
    </row>
    <row r="1753" spans="1:3" s="1" customFormat="1" ht="19.75" customHeight="1" x14ac:dyDescent="0.25">
      <c r="A1753" s="7">
        <f>2006</f>
        <v>2006</v>
      </c>
      <c r="B1753" s="2" t="s">
        <v>133</v>
      </c>
      <c r="C1753" s="4">
        <v>54.36</v>
      </c>
    </row>
    <row r="1754" spans="1:3" s="1" customFormat="1" ht="19.75" customHeight="1" x14ac:dyDescent="0.25">
      <c r="A1754" s="7">
        <f>2006</f>
        <v>2006</v>
      </c>
      <c r="B1754" s="2" t="s">
        <v>36</v>
      </c>
      <c r="C1754" s="3">
        <v>141.68</v>
      </c>
    </row>
    <row r="1755" spans="1:3" s="1" customFormat="1" ht="19.75" customHeight="1" x14ac:dyDescent="0.25">
      <c r="A1755" s="7">
        <f>2006</f>
        <v>2006</v>
      </c>
      <c r="B1755" s="2" t="s">
        <v>37</v>
      </c>
      <c r="C1755" s="4">
        <v>8.7504000000000008</v>
      </c>
    </row>
    <row r="1756" spans="1:3" s="1" customFormat="1" ht="19.75" customHeight="1" x14ac:dyDescent="0.25">
      <c r="A1756" s="7">
        <f>2006</f>
        <v>2006</v>
      </c>
      <c r="B1756" s="2" t="s">
        <v>38</v>
      </c>
      <c r="C1756" s="3">
        <v>6.96</v>
      </c>
    </row>
    <row r="1757" spans="1:3" s="1" customFormat="1" ht="19.75" customHeight="1" x14ac:dyDescent="0.25">
      <c r="A1757" s="7">
        <f>2006</f>
        <v>2006</v>
      </c>
      <c r="B1757" s="2" t="s">
        <v>40</v>
      </c>
      <c r="C1757" s="4">
        <v>37.551600000000001</v>
      </c>
    </row>
    <row r="1758" spans="1:3" s="1" customFormat="1" ht="19.75" customHeight="1" x14ac:dyDescent="0.25">
      <c r="A1758" s="7">
        <f>2006</f>
        <v>2006</v>
      </c>
      <c r="B1758" s="2" t="s">
        <v>41</v>
      </c>
      <c r="C1758" s="3">
        <v>97.6511</v>
      </c>
    </row>
    <row r="1759" spans="1:3" s="1" customFormat="1" ht="19.75" customHeight="1" x14ac:dyDescent="0.25">
      <c r="A1759" s="7">
        <f>2006</f>
        <v>2006</v>
      </c>
      <c r="B1759" s="2" t="s">
        <v>42</v>
      </c>
      <c r="C1759" s="4">
        <v>59.68</v>
      </c>
    </row>
    <row r="1760" spans="1:3" s="1" customFormat="1" ht="19.75" customHeight="1" x14ac:dyDescent="0.25">
      <c r="A1760" s="7">
        <f>2006</f>
        <v>2006</v>
      </c>
      <c r="B1760" s="2" t="s">
        <v>43</v>
      </c>
      <c r="C1760" s="3">
        <v>871.56</v>
      </c>
    </row>
    <row r="1761" spans="1:3" s="1" customFormat="1" ht="19.75" customHeight="1" x14ac:dyDescent="0.25">
      <c r="A1761" s="7">
        <f>2006</f>
        <v>2006</v>
      </c>
      <c r="B1761" s="2" t="s">
        <v>45</v>
      </c>
      <c r="C1761" s="4">
        <v>3.43</v>
      </c>
    </row>
    <row r="1762" spans="1:3" s="1" customFormat="1" ht="19.75" customHeight="1" x14ac:dyDescent="0.25">
      <c r="A1762" s="7">
        <f>2006</f>
        <v>2006</v>
      </c>
      <c r="B1762" s="2" t="s">
        <v>46</v>
      </c>
      <c r="C1762" s="3">
        <v>2.7</v>
      </c>
    </row>
    <row r="1763" spans="1:3" s="1" customFormat="1" ht="19.75" customHeight="1" x14ac:dyDescent="0.25">
      <c r="A1763" s="7">
        <f>2006</f>
        <v>2006</v>
      </c>
      <c r="B1763" s="2" t="s">
        <v>47</v>
      </c>
      <c r="C1763" s="4">
        <v>30.097999999999999</v>
      </c>
    </row>
    <row r="1764" spans="1:3" s="1" customFormat="1" ht="19.75" customHeight="1" x14ac:dyDescent="0.25">
      <c r="A1764" s="7">
        <f>2006</f>
        <v>2006</v>
      </c>
      <c r="B1764" s="2" t="s">
        <v>48</v>
      </c>
      <c r="C1764" s="3">
        <v>198.6206</v>
      </c>
    </row>
    <row r="1765" spans="1:3" s="1" customFormat="1" ht="19.75" customHeight="1" x14ac:dyDescent="0.25">
      <c r="A1765" s="7">
        <f>2006</f>
        <v>2006</v>
      </c>
      <c r="B1765" s="2" t="s">
        <v>99</v>
      </c>
      <c r="C1765" s="4">
        <v>762.15</v>
      </c>
    </row>
    <row r="1766" spans="1:3" s="1" customFormat="1" ht="19.75" customHeight="1" x14ac:dyDescent="0.25">
      <c r="A1766" s="7">
        <f>2006</f>
        <v>2006</v>
      </c>
      <c r="B1766" s="2" t="s">
        <v>122</v>
      </c>
      <c r="C1766" s="3">
        <v>0.65769999999999995</v>
      </c>
    </row>
    <row r="1767" spans="1:3" s="1" customFormat="1" ht="19.75" customHeight="1" x14ac:dyDescent="0.25">
      <c r="A1767" s="7">
        <f>2006</f>
        <v>2006</v>
      </c>
      <c r="B1767" s="2" t="s">
        <v>55</v>
      </c>
      <c r="C1767" s="4">
        <v>59.632300000000001</v>
      </c>
    </row>
    <row r="1768" spans="1:3" s="1" customFormat="1" ht="19.75" customHeight="1" x14ac:dyDescent="0.25">
      <c r="A1768" s="7">
        <f>2006</f>
        <v>2006</v>
      </c>
      <c r="B1768" s="2" t="s">
        <v>120</v>
      </c>
      <c r="C1768" s="3">
        <v>5.47</v>
      </c>
    </row>
    <row r="1769" spans="1:3" s="1" customFormat="1" ht="19.75" customHeight="1" x14ac:dyDescent="0.25">
      <c r="A1769" s="7">
        <f>2006</f>
        <v>2006</v>
      </c>
      <c r="B1769" s="2" t="s">
        <v>95</v>
      </c>
      <c r="C1769" s="4">
        <v>2.57</v>
      </c>
    </row>
    <row r="1770" spans="1:3" s="1" customFormat="1" ht="19.75" customHeight="1" x14ac:dyDescent="0.25">
      <c r="A1770" s="7">
        <f>2006</f>
        <v>2006</v>
      </c>
      <c r="B1770" s="2" t="s">
        <v>59</v>
      </c>
      <c r="C1770" s="3">
        <v>1.06</v>
      </c>
    </row>
    <row r="1771" spans="1:3" s="1" customFormat="1" ht="19.75" customHeight="1" x14ac:dyDescent="0.25">
      <c r="A1771" s="7">
        <f>2006</f>
        <v>2006</v>
      </c>
      <c r="B1771" s="2" t="s">
        <v>60</v>
      </c>
      <c r="C1771" s="4">
        <v>6.5575000000000001</v>
      </c>
    </row>
    <row r="1772" spans="1:3" s="1" customFormat="1" ht="19.75" customHeight="1" x14ac:dyDescent="0.25">
      <c r="A1772" s="7">
        <f>2006</f>
        <v>2006</v>
      </c>
      <c r="B1772" s="2" t="s">
        <v>61</v>
      </c>
      <c r="C1772" s="3">
        <v>42.85</v>
      </c>
    </row>
    <row r="1773" spans="1:3" s="1" customFormat="1" ht="19.75" customHeight="1" x14ac:dyDescent="0.25">
      <c r="A1773" s="7">
        <f>2006</f>
        <v>2006</v>
      </c>
      <c r="B1773" s="2" t="s">
        <v>64</v>
      </c>
      <c r="C1773" s="4">
        <v>2.21</v>
      </c>
    </row>
    <row r="1774" spans="1:3" s="1" customFormat="1" ht="19.75" customHeight="1" x14ac:dyDescent="0.25">
      <c r="A1774" s="7">
        <f>2006</f>
        <v>2006</v>
      </c>
      <c r="B1774" s="2" t="s">
        <v>67</v>
      </c>
      <c r="C1774" s="3">
        <v>8.86</v>
      </c>
    </row>
    <row r="1775" spans="1:3" s="1" customFormat="1" ht="19.75" customHeight="1" x14ac:dyDescent="0.25">
      <c r="A1775" s="7">
        <f>2006</f>
        <v>2006</v>
      </c>
      <c r="B1775" s="2" t="s">
        <v>68</v>
      </c>
      <c r="C1775" s="4">
        <v>4.04</v>
      </c>
    </row>
    <row r="1776" spans="1:3" s="1" customFormat="1" ht="19.75" customHeight="1" x14ac:dyDescent="0.25">
      <c r="A1776" s="7">
        <f>2006</f>
        <v>2006</v>
      </c>
      <c r="B1776" s="2" t="s">
        <v>69</v>
      </c>
      <c r="C1776" s="3">
        <v>17.253399999999999</v>
      </c>
    </row>
    <row r="1777" spans="1:3" s="1" customFormat="1" ht="19.75" customHeight="1" x14ac:dyDescent="0.25">
      <c r="A1777" s="7">
        <f>2006</f>
        <v>2006</v>
      </c>
      <c r="B1777" s="2" t="s">
        <v>96</v>
      </c>
      <c r="C1777" s="4">
        <v>1.01</v>
      </c>
    </row>
    <row r="1778" spans="1:3" s="1" customFormat="1" ht="19.75" customHeight="1" x14ac:dyDescent="0.25">
      <c r="A1778" s="7">
        <f>2006</f>
        <v>2006</v>
      </c>
      <c r="B1778" s="2" t="s">
        <v>71</v>
      </c>
      <c r="C1778" s="3">
        <v>817.96</v>
      </c>
    </row>
    <row r="1779" spans="1:3" s="1" customFormat="1" ht="19.75" customHeight="1" x14ac:dyDescent="0.25">
      <c r="A1779" s="7">
        <f>2006</f>
        <v>2006</v>
      </c>
      <c r="B1779" s="2" t="s">
        <v>127</v>
      </c>
      <c r="C1779" s="4">
        <v>340.24509999999998</v>
      </c>
    </row>
    <row r="1780" spans="1:3" s="1" customFormat="1" ht="19.75" customHeight="1" x14ac:dyDescent="0.25">
      <c r="A1780" s="7">
        <f>2005</f>
        <v>2005</v>
      </c>
      <c r="B1780" s="2" t="s">
        <v>113</v>
      </c>
      <c r="C1780" s="3">
        <v>523.99</v>
      </c>
    </row>
    <row r="1781" spans="1:3" s="1" customFormat="1" ht="19.75" customHeight="1" x14ac:dyDescent="0.25">
      <c r="A1781" s="7">
        <f>2005</f>
        <v>2005</v>
      </c>
      <c r="B1781" s="2" t="s">
        <v>114</v>
      </c>
      <c r="C1781" s="4">
        <v>462.32</v>
      </c>
    </row>
    <row r="1782" spans="1:3" s="1" customFormat="1" ht="19.75" customHeight="1" x14ac:dyDescent="0.25">
      <c r="A1782" s="7">
        <f>2005</f>
        <v>2005</v>
      </c>
      <c r="B1782" s="2" t="s">
        <v>9</v>
      </c>
      <c r="C1782" s="3">
        <v>6685.84</v>
      </c>
    </row>
    <row r="1783" spans="1:3" s="1" customFormat="1" ht="19.75" customHeight="1" x14ac:dyDescent="0.25">
      <c r="A1783" s="7">
        <f>2005</f>
        <v>2005</v>
      </c>
      <c r="B1783" s="2" t="s">
        <v>125</v>
      </c>
      <c r="C1783" s="4">
        <v>218.92</v>
      </c>
    </row>
    <row r="1784" spans="1:3" s="1" customFormat="1" ht="19.75" customHeight="1" x14ac:dyDescent="0.25">
      <c r="A1784" s="7">
        <f>2005</f>
        <v>2005</v>
      </c>
      <c r="B1784" s="2" t="s">
        <v>115</v>
      </c>
      <c r="C1784" s="3">
        <v>245.4</v>
      </c>
    </row>
    <row r="1785" spans="1:3" s="1" customFormat="1" ht="19.75" customHeight="1" x14ac:dyDescent="0.25">
      <c r="A1785" s="7">
        <f>2005</f>
        <v>2005</v>
      </c>
      <c r="B1785" s="2" t="s">
        <v>116</v>
      </c>
      <c r="C1785" s="4">
        <v>565.9</v>
      </c>
    </row>
    <row r="1786" spans="1:3" s="1" customFormat="1" ht="19.75" customHeight="1" x14ac:dyDescent="0.25">
      <c r="A1786" s="7">
        <f>2005</f>
        <v>2005</v>
      </c>
      <c r="B1786" s="2" t="s">
        <v>128</v>
      </c>
      <c r="C1786" s="3">
        <v>326.99</v>
      </c>
    </row>
    <row r="1787" spans="1:3" s="1" customFormat="1" ht="19.75" customHeight="1" x14ac:dyDescent="0.25">
      <c r="A1787" s="7">
        <f>2005</f>
        <v>2005</v>
      </c>
      <c r="B1787" s="2" t="s">
        <v>117</v>
      </c>
      <c r="C1787" s="4">
        <v>554.91999999999996</v>
      </c>
    </row>
    <row r="1788" spans="1:3" s="1" customFormat="1" ht="19.75" customHeight="1" x14ac:dyDescent="0.25">
      <c r="A1788" s="7">
        <f>2005</f>
        <v>2005</v>
      </c>
      <c r="B1788" s="2" t="s">
        <v>101</v>
      </c>
      <c r="C1788" s="3">
        <v>530.82000000000005</v>
      </c>
    </row>
    <row r="1789" spans="1:3" s="1" customFormat="1" ht="19.75" customHeight="1" x14ac:dyDescent="0.25">
      <c r="A1789" s="7">
        <f>2005</f>
        <v>2005</v>
      </c>
      <c r="B1789" s="2" t="s">
        <v>102</v>
      </c>
      <c r="C1789" s="4">
        <v>472.83</v>
      </c>
    </row>
    <row r="1790" spans="1:3" s="1" customFormat="1" ht="19.75" customHeight="1" x14ac:dyDescent="0.25">
      <c r="A1790" s="7">
        <f>2005</f>
        <v>2005</v>
      </c>
      <c r="B1790" s="2" t="s">
        <v>0</v>
      </c>
      <c r="C1790" s="3">
        <v>1625.07</v>
      </c>
    </row>
    <row r="1791" spans="1:3" s="1" customFormat="1" ht="19.75" customHeight="1" x14ac:dyDescent="0.25">
      <c r="A1791" s="7">
        <f>2005</f>
        <v>2005</v>
      </c>
      <c r="B1791" s="2" t="s">
        <v>1</v>
      </c>
      <c r="C1791" s="4">
        <v>1120.31</v>
      </c>
    </row>
    <row r="1792" spans="1:3" s="1" customFormat="1" ht="19.75" customHeight="1" x14ac:dyDescent="0.25">
      <c r="A1792" s="7">
        <f>2005</f>
        <v>2005</v>
      </c>
      <c r="B1792" s="2" t="s">
        <v>2</v>
      </c>
      <c r="C1792" s="3">
        <v>369.34</v>
      </c>
    </row>
    <row r="1793" spans="1:3" s="1" customFormat="1" ht="19.75" customHeight="1" x14ac:dyDescent="0.25">
      <c r="A1793" s="7">
        <f>2005</f>
        <v>2005</v>
      </c>
      <c r="B1793" s="2" t="s">
        <v>3</v>
      </c>
      <c r="C1793" s="4">
        <v>1475.82</v>
      </c>
    </row>
    <row r="1794" spans="1:3" s="1" customFormat="1" ht="19.75" customHeight="1" x14ac:dyDescent="0.25">
      <c r="A1794" s="7">
        <f>2005</f>
        <v>2005</v>
      </c>
      <c r="B1794" s="2" t="s">
        <v>4</v>
      </c>
      <c r="C1794" s="3">
        <v>1251.76</v>
      </c>
    </row>
    <row r="1795" spans="1:3" s="1" customFormat="1" ht="19.75" customHeight="1" x14ac:dyDescent="0.25">
      <c r="A1795" s="7">
        <f>2005</f>
        <v>2005</v>
      </c>
      <c r="B1795" s="2" t="s">
        <v>103</v>
      </c>
      <c r="C1795" s="4">
        <v>654.82000000000005</v>
      </c>
    </row>
    <row r="1796" spans="1:3" s="1" customFormat="1" ht="19.75" customHeight="1" x14ac:dyDescent="0.25">
      <c r="A1796" s="7">
        <f>2005</f>
        <v>2005</v>
      </c>
      <c r="B1796" s="2" t="s">
        <v>109</v>
      </c>
      <c r="C1796" s="3">
        <v>321.18</v>
      </c>
    </row>
    <row r="1797" spans="1:3" s="1" customFormat="1" ht="19.75" customHeight="1" x14ac:dyDescent="0.25">
      <c r="A1797" s="7">
        <f>2005</f>
        <v>2005</v>
      </c>
      <c r="B1797" s="2" t="s">
        <v>5</v>
      </c>
      <c r="C1797" s="4">
        <v>549.58000000000004</v>
      </c>
    </row>
    <row r="1798" spans="1:3" s="1" customFormat="1" ht="19.75" customHeight="1" x14ac:dyDescent="0.25">
      <c r="A1798" s="7">
        <f>2005</f>
        <v>2005</v>
      </c>
      <c r="B1798" s="2" t="s">
        <v>6</v>
      </c>
      <c r="C1798" s="3">
        <v>845.19</v>
      </c>
    </row>
    <row r="1799" spans="1:3" s="1" customFormat="1" ht="19.75" customHeight="1" x14ac:dyDescent="0.25">
      <c r="A1799" s="7">
        <f>2005</f>
        <v>2005</v>
      </c>
      <c r="B1799" s="2" t="s">
        <v>104</v>
      </c>
      <c r="C1799" s="4">
        <v>472.34</v>
      </c>
    </row>
    <row r="1800" spans="1:3" s="1" customFormat="1" ht="19.75" customHeight="1" x14ac:dyDescent="0.25">
      <c r="A1800" s="7">
        <f>2005</f>
        <v>2005</v>
      </c>
      <c r="B1800" s="2" t="s">
        <v>7</v>
      </c>
      <c r="C1800" s="3">
        <v>328.93</v>
      </c>
    </row>
    <row r="1801" spans="1:3" s="1" customFormat="1" ht="19.75" customHeight="1" x14ac:dyDescent="0.25">
      <c r="A1801" s="7">
        <f>2005</f>
        <v>2005</v>
      </c>
      <c r="B1801" s="2" t="s">
        <v>8</v>
      </c>
      <c r="C1801" s="4">
        <v>994.34</v>
      </c>
    </row>
    <row r="1802" spans="1:3" s="1" customFormat="1" ht="19.75" customHeight="1" x14ac:dyDescent="0.25">
      <c r="A1802" s="7">
        <f>2005</f>
        <v>2005</v>
      </c>
      <c r="B1802" s="2" t="s">
        <v>105</v>
      </c>
      <c r="C1802" s="3">
        <v>617.14</v>
      </c>
    </row>
    <row r="1803" spans="1:3" s="1" customFormat="1" ht="19.75" customHeight="1" x14ac:dyDescent="0.25">
      <c r="A1803" s="7">
        <f>2005</f>
        <v>2005</v>
      </c>
      <c r="B1803" s="2" t="s">
        <v>10</v>
      </c>
      <c r="C1803" s="4">
        <v>492.84</v>
      </c>
    </row>
    <row r="1804" spans="1:3" s="1" customFormat="1" ht="19.75" customHeight="1" x14ac:dyDescent="0.25">
      <c r="A1804" s="7">
        <f>2005</f>
        <v>2005</v>
      </c>
      <c r="B1804" s="2" t="s">
        <v>11</v>
      </c>
      <c r="C1804" s="3">
        <v>854.11</v>
      </c>
    </row>
    <row r="1805" spans="1:3" s="1" customFormat="1" ht="19.75" customHeight="1" x14ac:dyDescent="0.25">
      <c r="A1805" s="7">
        <f>2005</f>
        <v>2005</v>
      </c>
      <c r="B1805" s="2" t="s">
        <v>106</v>
      </c>
      <c r="C1805" s="4">
        <v>389.46</v>
      </c>
    </row>
    <row r="1806" spans="1:3" s="1" customFormat="1" ht="19.75" customHeight="1" x14ac:dyDescent="0.25">
      <c r="A1806" s="7">
        <f>2005</f>
        <v>2005</v>
      </c>
      <c r="B1806" s="2" t="s">
        <v>110</v>
      </c>
      <c r="C1806" s="3">
        <v>542.41</v>
      </c>
    </row>
    <row r="1807" spans="1:3" s="1" customFormat="1" ht="19.75" customHeight="1" x14ac:dyDescent="0.25">
      <c r="A1807" s="7">
        <f>2005</f>
        <v>2005</v>
      </c>
      <c r="B1807" s="2" t="s">
        <v>129</v>
      </c>
      <c r="C1807" s="4">
        <v>53.76</v>
      </c>
    </row>
    <row r="1808" spans="1:3" s="1" customFormat="1" ht="19.75" customHeight="1" x14ac:dyDescent="0.25">
      <c r="A1808" s="7">
        <f>2005</f>
        <v>2005</v>
      </c>
      <c r="B1808" s="2" t="s">
        <v>12</v>
      </c>
      <c r="C1808" s="3">
        <v>231.04</v>
      </c>
    </row>
    <row r="1809" spans="1:3" s="1" customFormat="1" ht="19.75" customHeight="1" x14ac:dyDescent="0.25">
      <c r="A1809" s="7">
        <f>2005</f>
        <v>2005</v>
      </c>
      <c r="B1809" s="2" t="s">
        <v>137</v>
      </c>
      <c r="C1809" s="4">
        <v>80.7239</v>
      </c>
    </row>
    <row r="1810" spans="1:3" s="1" customFormat="1" ht="19.75" customHeight="1" x14ac:dyDescent="0.25">
      <c r="A1810" s="7">
        <f>2005</f>
        <v>2005</v>
      </c>
      <c r="B1810" s="2" t="s">
        <v>126</v>
      </c>
      <c r="C1810" s="3">
        <v>47.44</v>
      </c>
    </row>
    <row r="1811" spans="1:3" s="1" customFormat="1" ht="19.75" customHeight="1" x14ac:dyDescent="0.25">
      <c r="A1811" s="7">
        <f>2005</f>
        <v>2005</v>
      </c>
      <c r="B1811" s="2" t="s">
        <v>134</v>
      </c>
      <c r="C1811" s="4">
        <v>34.270000000000003</v>
      </c>
    </row>
    <row r="1812" spans="1:3" s="1" customFormat="1" ht="19.75" customHeight="1" x14ac:dyDescent="0.25">
      <c r="A1812" s="7">
        <f>2005</f>
        <v>2005</v>
      </c>
      <c r="B1812" s="2" t="s">
        <v>130</v>
      </c>
      <c r="C1812" s="3">
        <v>-1.95</v>
      </c>
    </row>
    <row r="1813" spans="1:3" s="1" customFormat="1" ht="19.75" customHeight="1" x14ac:dyDescent="0.25">
      <c r="A1813" s="7">
        <f>2005</f>
        <v>2005</v>
      </c>
      <c r="B1813" s="2" t="s">
        <v>14</v>
      </c>
      <c r="C1813" s="4">
        <v>35.35</v>
      </c>
    </row>
    <row r="1814" spans="1:3" s="1" customFormat="1" ht="19.75" customHeight="1" x14ac:dyDescent="0.25">
      <c r="A1814" s="7">
        <f>2005</f>
        <v>2005</v>
      </c>
      <c r="B1814" s="2" t="s">
        <v>15</v>
      </c>
      <c r="C1814" s="3">
        <v>67.92</v>
      </c>
    </row>
    <row r="1815" spans="1:3" s="1" customFormat="1" ht="19.75" customHeight="1" x14ac:dyDescent="0.25">
      <c r="A1815" s="7">
        <f>2005</f>
        <v>2005</v>
      </c>
      <c r="B1815" s="2" t="s">
        <v>16</v>
      </c>
      <c r="C1815" s="4">
        <v>158.79</v>
      </c>
    </row>
    <row r="1816" spans="1:3" s="1" customFormat="1" ht="19.75" customHeight="1" x14ac:dyDescent="0.25">
      <c r="A1816" s="7">
        <f>2005</f>
        <v>2005</v>
      </c>
      <c r="B1816" s="2" t="s">
        <v>18</v>
      </c>
      <c r="C1816" s="3">
        <v>310.31</v>
      </c>
    </row>
    <row r="1817" spans="1:3" s="1" customFormat="1" ht="19.75" customHeight="1" x14ac:dyDescent="0.25">
      <c r="A1817" s="7">
        <f>2005</f>
        <v>2005</v>
      </c>
      <c r="B1817" s="2" t="s">
        <v>135</v>
      </c>
      <c r="C1817" s="4">
        <v>3.2507999999999999</v>
      </c>
    </row>
    <row r="1818" spans="1:3" s="1" customFormat="1" ht="19.75" customHeight="1" x14ac:dyDescent="0.25">
      <c r="A1818" s="7">
        <f>2005</f>
        <v>2005</v>
      </c>
      <c r="B1818" s="2" t="s">
        <v>19</v>
      </c>
      <c r="C1818" s="3">
        <v>678.31</v>
      </c>
    </row>
    <row r="1819" spans="1:3" s="1" customFormat="1" ht="19.75" customHeight="1" x14ac:dyDescent="0.25">
      <c r="A1819" s="7">
        <f>2005</f>
        <v>2005</v>
      </c>
      <c r="B1819" s="2" t="s">
        <v>20</v>
      </c>
      <c r="C1819" s="4">
        <v>950.8</v>
      </c>
    </row>
    <row r="1820" spans="1:3" s="1" customFormat="1" ht="19.75" customHeight="1" x14ac:dyDescent="0.25">
      <c r="A1820" s="7">
        <f>2005</f>
        <v>2005</v>
      </c>
      <c r="B1820" s="2" t="s">
        <v>23</v>
      </c>
      <c r="C1820" s="3">
        <v>191.09</v>
      </c>
    </row>
    <row r="1821" spans="1:3" s="1" customFormat="1" ht="19.75" customHeight="1" x14ac:dyDescent="0.25">
      <c r="A1821" s="7">
        <f>2005</f>
        <v>2005</v>
      </c>
      <c r="B1821" s="2" t="s">
        <v>121</v>
      </c>
      <c r="C1821" s="4">
        <v>137.50550000000001</v>
      </c>
    </row>
    <row r="1822" spans="1:3" s="1" customFormat="1" ht="19.75" customHeight="1" x14ac:dyDescent="0.25">
      <c r="A1822" s="7">
        <f>2005</f>
        <v>2005</v>
      </c>
      <c r="B1822" s="2" t="s">
        <v>24</v>
      </c>
      <c r="C1822" s="3">
        <v>240.4</v>
      </c>
    </row>
    <row r="1823" spans="1:3" s="1" customFormat="1" ht="19.75" customHeight="1" x14ac:dyDescent="0.25">
      <c r="A1823" s="7">
        <f>2005</f>
        <v>2005</v>
      </c>
      <c r="B1823" s="2" t="s">
        <v>25</v>
      </c>
      <c r="C1823" s="4">
        <v>193.56190000000001</v>
      </c>
    </row>
    <row r="1824" spans="1:3" s="1" customFormat="1" ht="19.75" customHeight="1" x14ac:dyDescent="0.25">
      <c r="A1824" s="7">
        <f>2005</f>
        <v>2005</v>
      </c>
      <c r="B1824" s="2" t="s">
        <v>26</v>
      </c>
      <c r="C1824" s="3">
        <v>93.89</v>
      </c>
    </row>
    <row r="1825" spans="1:3" s="1" customFormat="1" ht="19.75" customHeight="1" x14ac:dyDescent="0.25">
      <c r="A1825" s="7">
        <f>2005</f>
        <v>2005</v>
      </c>
      <c r="B1825" s="2" t="s">
        <v>27</v>
      </c>
      <c r="C1825" s="4">
        <v>48.17</v>
      </c>
    </row>
    <row r="1826" spans="1:3" s="1" customFormat="1" ht="19.75" customHeight="1" x14ac:dyDescent="0.25">
      <c r="A1826" s="7">
        <f>2005</f>
        <v>2005</v>
      </c>
      <c r="B1826" s="2" t="s">
        <v>107</v>
      </c>
      <c r="C1826" s="3">
        <v>51.36</v>
      </c>
    </row>
    <row r="1827" spans="1:3" s="1" customFormat="1" ht="19.75" customHeight="1" x14ac:dyDescent="0.25">
      <c r="A1827" s="7">
        <f>2005</f>
        <v>2005</v>
      </c>
      <c r="B1827" s="2" t="s">
        <v>131</v>
      </c>
      <c r="C1827" s="4">
        <v>23.37</v>
      </c>
    </row>
    <row r="1828" spans="1:3" s="1" customFormat="1" ht="19.75" customHeight="1" x14ac:dyDescent="0.25">
      <c r="A1828" s="7">
        <f>2005</f>
        <v>2005</v>
      </c>
      <c r="B1828" s="2" t="s">
        <v>28</v>
      </c>
      <c r="C1828" s="3">
        <v>9.7736999999999998</v>
      </c>
    </row>
    <row r="1829" spans="1:3" s="1" customFormat="1" ht="19.75" customHeight="1" x14ac:dyDescent="0.25">
      <c r="A1829" s="7">
        <f>2005</f>
        <v>2005</v>
      </c>
      <c r="B1829" s="2" t="s">
        <v>29</v>
      </c>
      <c r="C1829" s="4">
        <v>19.002400000000002</v>
      </c>
    </row>
    <row r="1830" spans="1:3" s="1" customFormat="1" ht="19.75" customHeight="1" x14ac:dyDescent="0.25">
      <c r="A1830" s="7">
        <f>2005</f>
        <v>2005</v>
      </c>
      <c r="B1830" s="2" t="s">
        <v>132</v>
      </c>
      <c r="C1830" s="3">
        <v>37.311100000000003</v>
      </c>
    </row>
    <row r="1831" spans="1:3" s="1" customFormat="1" ht="19.75" customHeight="1" x14ac:dyDescent="0.25">
      <c r="A1831" s="7">
        <f>2005</f>
        <v>2005</v>
      </c>
      <c r="B1831" s="2" t="s">
        <v>124</v>
      </c>
      <c r="C1831" s="4">
        <v>20.93</v>
      </c>
    </row>
    <row r="1832" spans="1:3" s="1" customFormat="1" ht="19.75" customHeight="1" x14ac:dyDescent="0.25">
      <c r="A1832" s="7">
        <f>2005</f>
        <v>2005</v>
      </c>
      <c r="B1832" s="2" t="s">
        <v>30</v>
      </c>
      <c r="C1832" s="3">
        <v>163.5309</v>
      </c>
    </row>
    <row r="1833" spans="1:3" s="1" customFormat="1" ht="19.75" customHeight="1" x14ac:dyDescent="0.25">
      <c r="A1833" s="7">
        <f>2005</f>
        <v>2005</v>
      </c>
      <c r="B1833" s="2" t="s">
        <v>31</v>
      </c>
      <c r="C1833" s="4">
        <v>91.86</v>
      </c>
    </row>
    <row r="1834" spans="1:3" s="1" customFormat="1" ht="19.75" customHeight="1" x14ac:dyDescent="0.25">
      <c r="A1834" s="7">
        <f>2005</f>
        <v>2005</v>
      </c>
      <c r="B1834" s="2" t="s">
        <v>32</v>
      </c>
      <c r="C1834" s="3">
        <v>0.11</v>
      </c>
    </row>
    <row r="1835" spans="1:3" s="1" customFormat="1" ht="19.75" customHeight="1" x14ac:dyDescent="0.25">
      <c r="A1835" s="7">
        <f>2005</f>
        <v>2005</v>
      </c>
      <c r="B1835" s="2" t="s">
        <v>17</v>
      </c>
      <c r="C1835" s="4">
        <v>40.049199999999999</v>
      </c>
    </row>
    <row r="1836" spans="1:3" s="1" customFormat="1" ht="19.75" customHeight="1" x14ac:dyDescent="0.25">
      <c r="A1836" s="7">
        <f>2005</f>
        <v>2005</v>
      </c>
      <c r="B1836" s="2" t="s">
        <v>136</v>
      </c>
      <c r="C1836" s="3">
        <v>170.72</v>
      </c>
    </row>
    <row r="1837" spans="1:3" s="1" customFormat="1" ht="19.75" customHeight="1" x14ac:dyDescent="0.25">
      <c r="A1837" s="7">
        <f>2005</f>
        <v>2005</v>
      </c>
      <c r="B1837" s="2" t="s">
        <v>93</v>
      </c>
      <c r="C1837" s="4">
        <v>1.8</v>
      </c>
    </row>
    <row r="1838" spans="1:3" s="1" customFormat="1" ht="19.75" customHeight="1" x14ac:dyDescent="0.25">
      <c r="A1838" s="7">
        <f>2005</f>
        <v>2005</v>
      </c>
      <c r="B1838" s="2" t="s">
        <v>98</v>
      </c>
      <c r="C1838" s="3">
        <v>55.216999999999999</v>
      </c>
    </row>
    <row r="1839" spans="1:3" s="1" customFormat="1" ht="19.75" customHeight="1" x14ac:dyDescent="0.25">
      <c r="A1839" s="7">
        <f>2005</f>
        <v>2005</v>
      </c>
      <c r="B1839" s="2" t="s">
        <v>133</v>
      </c>
      <c r="C1839" s="4">
        <v>60.68</v>
      </c>
    </row>
    <row r="1840" spans="1:3" s="1" customFormat="1" ht="19.75" customHeight="1" x14ac:dyDescent="0.25">
      <c r="A1840" s="7">
        <f>2005</f>
        <v>2005</v>
      </c>
      <c r="B1840" s="2" t="s">
        <v>36</v>
      </c>
      <c r="C1840" s="3">
        <v>76.930000000000007</v>
      </c>
    </row>
    <row r="1841" spans="1:3" s="1" customFormat="1" ht="19.75" customHeight="1" x14ac:dyDescent="0.25">
      <c r="A1841" s="7">
        <f>2005</f>
        <v>2005</v>
      </c>
      <c r="B1841" s="2" t="s">
        <v>37</v>
      </c>
      <c r="C1841" s="4">
        <v>24.4755</v>
      </c>
    </row>
    <row r="1842" spans="1:3" s="1" customFormat="1" ht="19.75" customHeight="1" x14ac:dyDescent="0.25">
      <c r="A1842" s="7">
        <f>2005</f>
        <v>2005</v>
      </c>
      <c r="B1842" s="2" t="s">
        <v>38</v>
      </c>
      <c r="C1842" s="3">
        <v>4.4252000000000002</v>
      </c>
    </row>
    <row r="1843" spans="1:3" s="1" customFormat="1" ht="19.75" customHeight="1" x14ac:dyDescent="0.25">
      <c r="A1843" s="7">
        <f>2005</f>
        <v>2005</v>
      </c>
      <c r="B1843" s="2" t="s">
        <v>40</v>
      </c>
      <c r="C1843" s="4">
        <v>80.494100000000003</v>
      </c>
    </row>
    <row r="1844" spans="1:3" s="1" customFormat="1" ht="19.75" customHeight="1" x14ac:dyDescent="0.25">
      <c r="A1844" s="7">
        <f>2005</f>
        <v>2005</v>
      </c>
      <c r="B1844" s="2" t="s">
        <v>41</v>
      </c>
      <c r="C1844" s="3">
        <v>55.38</v>
      </c>
    </row>
    <row r="1845" spans="1:3" s="1" customFormat="1" ht="19.75" customHeight="1" x14ac:dyDescent="0.25">
      <c r="A1845" s="7">
        <f>2005</f>
        <v>2005</v>
      </c>
      <c r="B1845" s="2" t="s">
        <v>42</v>
      </c>
      <c r="C1845" s="4">
        <v>41.779899999999998</v>
      </c>
    </row>
    <row r="1846" spans="1:3" s="1" customFormat="1" ht="19.75" customHeight="1" x14ac:dyDescent="0.25">
      <c r="A1846" s="7">
        <f>2005</f>
        <v>2005</v>
      </c>
      <c r="B1846" s="2" t="s">
        <v>43</v>
      </c>
      <c r="C1846" s="3">
        <v>571.4923</v>
      </c>
    </row>
    <row r="1847" spans="1:3" s="1" customFormat="1" ht="19.75" customHeight="1" x14ac:dyDescent="0.25">
      <c r="A1847" s="7">
        <f>2005</f>
        <v>2005</v>
      </c>
      <c r="B1847" s="2" t="s">
        <v>45</v>
      </c>
      <c r="C1847" s="4">
        <v>4.3794000000000004</v>
      </c>
    </row>
    <row r="1848" spans="1:3" s="1" customFormat="1" ht="19.75" customHeight="1" x14ac:dyDescent="0.25">
      <c r="A1848" s="7">
        <f>2005</f>
        <v>2005</v>
      </c>
      <c r="B1848" s="2" t="s">
        <v>46</v>
      </c>
      <c r="C1848" s="3">
        <v>11.64</v>
      </c>
    </row>
    <row r="1849" spans="1:3" s="1" customFormat="1" ht="19.75" customHeight="1" x14ac:dyDescent="0.25">
      <c r="A1849" s="7">
        <f>2005</f>
        <v>2005</v>
      </c>
      <c r="B1849" s="2" t="s">
        <v>47</v>
      </c>
      <c r="C1849" s="4">
        <v>2.1248</v>
      </c>
    </row>
    <row r="1850" spans="1:3" s="1" customFormat="1" ht="19.75" customHeight="1" x14ac:dyDescent="0.25">
      <c r="A1850" s="7">
        <f>2005</f>
        <v>2005</v>
      </c>
      <c r="B1850" s="2" t="s">
        <v>48</v>
      </c>
      <c r="C1850" s="3">
        <v>141.63</v>
      </c>
    </row>
    <row r="1851" spans="1:3" s="1" customFormat="1" ht="19.75" customHeight="1" x14ac:dyDescent="0.25">
      <c r="A1851" s="7">
        <f>2005</f>
        <v>2005</v>
      </c>
      <c r="B1851" s="2" t="s">
        <v>99</v>
      </c>
      <c r="C1851" s="4">
        <v>608.08000000000004</v>
      </c>
    </row>
    <row r="1852" spans="1:3" s="1" customFormat="1" ht="19.75" customHeight="1" x14ac:dyDescent="0.25">
      <c r="A1852" s="7">
        <f>2005</f>
        <v>2005</v>
      </c>
      <c r="B1852" s="2" t="s">
        <v>122</v>
      </c>
      <c r="C1852" s="3">
        <v>13.42</v>
      </c>
    </row>
    <row r="1853" spans="1:3" s="1" customFormat="1" ht="19.75" customHeight="1" x14ac:dyDescent="0.25">
      <c r="A1853" s="7">
        <f>2005</f>
        <v>2005</v>
      </c>
      <c r="B1853" s="2" t="s">
        <v>138</v>
      </c>
      <c r="C1853" s="4">
        <v>8.0885999999999996</v>
      </c>
    </row>
    <row r="1854" spans="1:3" s="1" customFormat="1" ht="19.75" customHeight="1" x14ac:dyDescent="0.25">
      <c r="A1854" s="7">
        <f>2005</f>
        <v>2005</v>
      </c>
      <c r="B1854" s="2" t="s">
        <v>55</v>
      </c>
      <c r="C1854" s="3">
        <v>42.587400000000002</v>
      </c>
    </row>
    <row r="1855" spans="1:3" s="1" customFormat="1" ht="19.75" customHeight="1" x14ac:dyDescent="0.25">
      <c r="A1855" s="7">
        <f>2005</f>
        <v>2005</v>
      </c>
      <c r="B1855" s="2" t="s">
        <v>120</v>
      </c>
      <c r="C1855" s="4">
        <v>6.5537000000000001</v>
      </c>
    </row>
    <row r="1856" spans="1:3" s="1" customFormat="1" ht="19.75" customHeight="1" x14ac:dyDescent="0.25">
      <c r="A1856" s="7">
        <f>2005</f>
        <v>2005</v>
      </c>
      <c r="B1856" s="2" t="s">
        <v>95</v>
      </c>
      <c r="C1856" s="3">
        <v>0.97709999999999997</v>
      </c>
    </row>
    <row r="1857" spans="1:3" s="1" customFormat="1" ht="19.75" customHeight="1" x14ac:dyDescent="0.25">
      <c r="A1857" s="7">
        <f>2005</f>
        <v>2005</v>
      </c>
      <c r="B1857" s="2" t="s">
        <v>59</v>
      </c>
      <c r="C1857" s="4">
        <v>0.54</v>
      </c>
    </row>
    <row r="1858" spans="1:3" s="1" customFormat="1" ht="19.75" customHeight="1" x14ac:dyDescent="0.25">
      <c r="A1858" s="7">
        <f>2005</f>
        <v>2005</v>
      </c>
      <c r="B1858" s="2" t="s">
        <v>60</v>
      </c>
      <c r="C1858" s="3">
        <v>-0.20219999999999999</v>
      </c>
    </row>
    <row r="1859" spans="1:3" s="1" customFormat="1" ht="19.75" customHeight="1" x14ac:dyDescent="0.25">
      <c r="A1859" s="7">
        <f>2005</f>
        <v>2005</v>
      </c>
      <c r="B1859" s="2" t="s">
        <v>61</v>
      </c>
      <c r="C1859" s="4">
        <v>54.089700000000001</v>
      </c>
    </row>
    <row r="1860" spans="1:3" s="1" customFormat="1" ht="19.75" customHeight="1" x14ac:dyDescent="0.25">
      <c r="A1860" s="7">
        <f>2005</f>
        <v>2005</v>
      </c>
      <c r="B1860" s="2" t="s">
        <v>64</v>
      </c>
      <c r="C1860" s="3">
        <v>0.5</v>
      </c>
    </row>
    <row r="1861" spans="1:3" s="1" customFormat="1" ht="19.75" customHeight="1" x14ac:dyDescent="0.25">
      <c r="A1861" s="7">
        <f>2005</f>
        <v>2005</v>
      </c>
      <c r="B1861" s="2" t="s">
        <v>67</v>
      </c>
      <c r="C1861" s="4">
        <v>5.49</v>
      </c>
    </row>
    <row r="1862" spans="1:3" s="1" customFormat="1" ht="19.75" customHeight="1" x14ac:dyDescent="0.25">
      <c r="A1862" s="7">
        <f>2005</f>
        <v>2005</v>
      </c>
      <c r="B1862" s="2" t="s">
        <v>68</v>
      </c>
      <c r="C1862" s="3">
        <v>4.5129000000000001</v>
      </c>
    </row>
    <row r="1863" spans="1:3" s="1" customFormat="1" ht="19.75" customHeight="1" x14ac:dyDescent="0.25">
      <c r="A1863" s="7">
        <f>2005</f>
        <v>2005</v>
      </c>
      <c r="B1863" s="2" t="s">
        <v>69</v>
      </c>
      <c r="C1863" s="4">
        <v>-3.9</v>
      </c>
    </row>
    <row r="1864" spans="1:3" s="1" customFormat="1" ht="19.75" customHeight="1" x14ac:dyDescent="0.25">
      <c r="A1864" s="7">
        <f>2005</f>
        <v>2005</v>
      </c>
      <c r="B1864" s="2" t="s">
        <v>96</v>
      </c>
      <c r="C1864" s="3">
        <v>1.069</v>
      </c>
    </row>
    <row r="1865" spans="1:3" s="1" customFormat="1" ht="19.75" customHeight="1" x14ac:dyDescent="0.25">
      <c r="A1865" s="7">
        <f>2005</f>
        <v>2005</v>
      </c>
      <c r="B1865" s="2" t="s">
        <v>71</v>
      </c>
      <c r="C1865" s="4">
        <v>467.17</v>
      </c>
    </row>
    <row r="1866" spans="1:3" s="1" customFormat="1" ht="19.75" customHeight="1" x14ac:dyDescent="0.25">
      <c r="A1866" s="7">
        <f>2005</f>
        <v>2005</v>
      </c>
      <c r="B1866" s="2" t="s">
        <v>127</v>
      </c>
      <c r="C1866" s="3">
        <v>246.84559999999999</v>
      </c>
    </row>
    <row r="1867" spans="1:3" s="1" customFormat="1" ht="19.75" customHeight="1" x14ac:dyDescent="0.25">
      <c r="A1867" s="7">
        <f>2005</f>
        <v>2005</v>
      </c>
      <c r="B1867" s="2" t="s">
        <v>139</v>
      </c>
      <c r="C1867" s="4">
        <v>6.65</v>
      </c>
    </row>
  </sheetData>
  <pageMargins left="0.7" right="0.7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uday singh</cp:lastModifiedBy>
  <dcterms:created xsi:type="dcterms:W3CDTF">2026-01-12T21:23:43Z</dcterms:created>
  <dcterms:modified xsi:type="dcterms:W3CDTF">2026-02-11T06:20:53Z</dcterms:modified>
</cp:coreProperties>
</file>