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s\Downloads\"/>
    </mc:Choice>
  </mc:AlternateContent>
  <xr:revisionPtr revIDLastSave="0" documentId="13_ncr:1_{62EFFF46-FC57-4105-923D-978FFD2E3E5B}" xr6:coauthVersionLast="47" xr6:coauthVersionMax="47" xr10:uidLastSave="{00000000-0000-0000-0000-000000000000}"/>
  <bookViews>
    <workbookView xWindow="-110" yWindow="-110" windowWidth="19420" windowHeight="11020" xr2:uid="{AEC0E10D-C6E1-4946-B0BD-6DF877A5D45A}"/>
  </bookViews>
  <sheets>
    <sheet name="EXPENSES" sheetId="1" r:id="rId1"/>
  </sheets>
  <definedNames>
    <definedName name="_xlnm._FilterDatabase" localSheetId="0" hidden="1">EXPENSES!$A$1:$D$1867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81" i="1" l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780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695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53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454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373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292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05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1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026" i="1"/>
  <c r="A102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935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842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748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561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46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374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281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188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9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2" i="1"/>
</calcChain>
</file>

<file path=xl/sharedStrings.xml><?xml version="1.0" encoding="utf-8"?>
<sst xmlns="http://schemas.openxmlformats.org/spreadsheetml/2006/main" count="1870" uniqueCount="143">
  <si>
    <t>UFJ BANK LTD</t>
  </si>
  <si>
    <t>THE ROYAL BANK OF SCOTLAND PLC</t>
  </si>
  <si>
    <t>STANDARD CHARTERED BANK</t>
  </si>
  <si>
    <t>SONALI BANK</t>
  </si>
  <si>
    <t>SOCIETE GENERALE</t>
  </si>
  <si>
    <t>SHINHAN BANK</t>
  </si>
  <si>
    <t>SBM BANK (INDIA) LIMITED</t>
  </si>
  <si>
    <t>PT BANK MAYBANK INDONESIA TBK</t>
  </si>
  <si>
    <t>MUFG BANK, LTD.</t>
  </si>
  <si>
    <t>MIZUHO BANK LTD</t>
  </si>
  <si>
    <t>MASHREQ BANK PSC</t>
  </si>
  <si>
    <t>KRUNG THAI BANK PUBLIC COMPANY LIMITED</t>
  </si>
  <si>
    <t>KBC BANK NV</t>
  </si>
  <si>
    <t>JPMORGAN CHASE BANK NATIONAL ASSOCIATION</t>
  </si>
  <si>
    <t>ING BANK N.V.</t>
  </si>
  <si>
    <t>HSBC BANK OMAN S.A.O.G.</t>
  </si>
  <si>
    <t>HONGKONG AND SHANGHAI BANKING CORPN.LTD.</t>
  </si>
  <si>
    <t>DEUTSCHE BANK AG</t>
  </si>
  <si>
    <t>DBS BANK INDIA LIMITED</t>
  </si>
  <si>
    <t>CTBC BANK CO., LTD.</t>
  </si>
  <si>
    <t>CREDIT AGRICOLE CORPORATE AND INVESTMENT BANK</t>
  </si>
  <si>
    <t>CITIBANK N.A</t>
  </si>
  <si>
    <t>BNP PARIBAS</t>
  </si>
  <si>
    <t>BARCLAYS BANK PLC</t>
  </si>
  <si>
    <t>BANK OF NOVA SCOTIA</t>
  </si>
  <si>
    <t>BANK OF CEYLON</t>
  </si>
  <si>
    <t>BANK OF BAHRAIN &amp; KUWAIT B.S.C.</t>
  </si>
  <si>
    <t>BANK OF AMERICA , NATIONAL ASSOCIATION</t>
  </si>
  <si>
    <t>AMERICAN EXPRESS BANK LTD</t>
  </si>
  <si>
    <t>ABU DHABI COMMERCIAL BANK PJSC</t>
  </si>
  <si>
    <t>AB BANK LIMITED</t>
  </si>
  <si>
    <t>YES BANK LTD.</t>
  </si>
  <si>
    <t>UNITED WESTERN BANK LTD</t>
  </si>
  <si>
    <t>TAMILNAD MERCANTILE BANK LTD</t>
  </si>
  <si>
    <t>SOUTH INDIAN BANK LTD</t>
  </si>
  <si>
    <t>SBI COMMERCIAL &amp; INTERNATIONAL BANK LTD</t>
  </si>
  <si>
    <t>SANGLI BANK LTD</t>
  </si>
  <si>
    <t>RBL BANK LTD</t>
  </si>
  <si>
    <t>NAINITAL BANK LTD</t>
  </si>
  <si>
    <t>LORD KRISHNA BANK LTD</t>
  </si>
  <si>
    <t>LAKSHMI VILAS BANK LTD</t>
  </si>
  <si>
    <t>KOTAK MAHINDRA BANK LTD.</t>
  </si>
  <si>
    <t>KARUR VYSYA BANK LTD</t>
  </si>
  <si>
    <t>KARNATAKA BANK LTD</t>
  </si>
  <si>
    <t>JAMMU &amp; KASHMIR BANK LTD</t>
  </si>
  <si>
    <t>ING VYSYA BANK LTD</t>
  </si>
  <si>
    <t>INDUSIND BANK LTD</t>
  </si>
  <si>
    <t>ICICI BANK LIMITED</t>
  </si>
  <si>
    <t>HDFC BANK LTD.</t>
  </si>
  <si>
    <t>GANESH BANK OF KURUNDWAD LTD</t>
  </si>
  <si>
    <t>FEDERAL BANK LTD</t>
  </si>
  <si>
    <t>DHANLAXMI BANK LIMITED</t>
  </si>
  <si>
    <t>DCB BANK LIMITED</t>
  </si>
  <si>
    <t>CSB BANK LIMITED</t>
  </si>
  <si>
    <t>CITY UNION BANK LIMITED</t>
  </si>
  <si>
    <t>CENTURION BANK OF PUNJAB LTD.</t>
  </si>
  <si>
    <t>BHARAT OVERSEAS BANK LTD</t>
  </si>
  <si>
    <t>BANK OF RAJASTHAN LTD</t>
  </si>
  <si>
    <t>BANK OF PUNJAB LIMITED</t>
  </si>
  <si>
    <t>AXIS BANK LIMITED</t>
  </si>
  <si>
    <t>VIJAYA BANK</t>
  </si>
  <si>
    <t>UNITED BANK OF INDIA</t>
  </si>
  <si>
    <t>UNION BANK OF INDIA</t>
  </si>
  <si>
    <t>UCO BANK</t>
  </si>
  <si>
    <t>SYNDICATE BANK</t>
  </si>
  <si>
    <t>PUNJAB NATIONAL BANK</t>
  </si>
  <si>
    <t>PUNJAB AND SIND BANK</t>
  </si>
  <si>
    <t>ORIENTAL BANK OF COMMERCE</t>
  </si>
  <si>
    <t>INDIAN OVERSEAS BANK</t>
  </si>
  <si>
    <t>INDIAN BANK</t>
  </si>
  <si>
    <t>IDBI LIMITED</t>
  </si>
  <si>
    <t>DENA BANK</t>
  </si>
  <si>
    <t>CORPORATION BANK</t>
  </si>
  <si>
    <t>CENTRAL BANK OF INDIA</t>
  </si>
  <si>
    <t>CANARA BANK</t>
  </si>
  <si>
    <t>BANK OF MAHARASHTRA</t>
  </si>
  <si>
    <t>BANK OF INDIA</t>
  </si>
  <si>
    <t>BANK OF BARODA</t>
  </si>
  <si>
    <t>ANDHRA BANK</t>
  </si>
  <si>
    <t>ALLAHABAD BANK</t>
  </si>
  <si>
    <t>STATE BANK OF TRAVANCORE</t>
  </si>
  <si>
    <t>STATE BANK OF SAURASHTRA</t>
  </si>
  <si>
    <t>STATE BANK OF PATIALA</t>
  </si>
  <si>
    <t>STATE BANK OF MYSORE</t>
  </si>
  <si>
    <t>STATE BANK OF INDORE</t>
  </si>
  <si>
    <t>STATE BANK OF INDIA</t>
  </si>
  <si>
    <t>STATE BANK OF HYDERABAD</t>
  </si>
  <si>
    <t>STATE BANK OF BIKANER AND JAIPUR</t>
  </si>
  <si>
    <t>KBC BANK N.V.</t>
  </si>
  <si>
    <t>UBS AG</t>
  </si>
  <si>
    <t>JSC VTB BANK</t>
  </si>
  <si>
    <t>AMERICAN EXPRESS BANKING CORP.</t>
  </si>
  <si>
    <t>IDBI BANK LIMITED</t>
  </si>
  <si>
    <t>THE ROYAL BANK OF SCOTLAND N.V.</t>
  </si>
  <si>
    <t>FIRSTRAND BANK LTD</t>
  </si>
  <si>
    <t>UNITED OVERSEAS BANK LTD</t>
  </si>
  <si>
    <t>COMMONWEALTH BANK OF AUSTRALIA</t>
  </si>
  <si>
    <t>WOORI BANK</t>
  </si>
  <si>
    <t>SBERBANK</t>
  </si>
  <si>
    <t>NATIONAL AUSTRALIA BANK</t>
  </si>
  <si>
    <t>INDUSTRIAL AND COMMERCIAL BANK OF CHINA</t>
  </si>
  <si>
    <t>CREDIT SUISSE AG</t>
  </si>
  <si>
    <t>COOPERATIEVE RABOBANK U.A.</t>
  </si>
  <si>
    <t>AUSTRALIA AND NEW ZEALAND BANKING GROUP LIMITED</t>
  </si>
  <si>
    <t>WESTPAC BANKING CORPORATION</t>
  </si>
  <si>
    <t>SUMITOMO MITSUI BANKING CORPORATION</t>
  </si>
  <si>
    <t>BHARATIYA MAHILA BANK LTD.</t>
  </si>
  <si>
    <t>DOHA BANK Q.P.S.C.</t>
  </si>
  <si>
    <t>KEB HANA BANK</t>
  </si>
  <si>
    <t>INDUSTRIAL BANK OF KOREA</t>
  </si>
  <si>
    <t>FIRST ABU DHABI BANK PJSC</t>
  </si>
  <si>
    <t>IDFC BANK LIMITED</t>
  </si>
  <si>
    <t>BANDHAN BANK LIMITED</t>
  </si>
  <si>
    <t>EQUITAS SMALL FINANCE BANK LIMITED</t>
  </si>
  <si>
    <t>CAPITAL SMALL FINANCE BANK LIMITED</t>
  </si>
  <si>
    <t>UTKARSH SMALL FINANCE BANK LIMITED</t>
  </si>
  <si>
    <t>UJJIVAN SMALL FINANCE BANK LIMITED</t>
  </si>
  <si>
    <t>SURYODAY SMALL FINANCE BANK LIMITED</t>
  </si>
  <si>
    <t>AU SMALL FINANCE BANK LIMITED</t>
  </si>
  <si>
    <t>QATAR NATIONAL BANK (Q.P.S.C)</t>
  </si>
  <si>
    <t>EMIRATES NBD BANK (P.J.S.C.)</t>
  </si>
  <si>
    <t>ESAF SMALL FINANCE BANK LIMITED</t>
  </si>
  <si>
    <t>IDFC FIRST BANK LIMITED</t>
  </si>
  <si>
    <t>INDIA POST PAYMENTS BANK LIMITED</t>
  </si>
  <si>
    <t>NORTH EAST SMALL FINANCE BANK LIMITED</t>
  </si>
  <si>
    <t>JANA SMALL FINANCE BANK LIMITED</t>
  </si>
  <si>
    <t>FINCARE SMALL FINANCE BANK LIMITED</t>
  </si>
  <si>
    <t>KOOKMIN BANK</t>
  </si>
  <si>
    <t>BANK OF CHINA LIMITED</t>
  </si>
  <si>
    <t>FINO PAYMENTS BANK LIMITED</t>
  </si>
  <si>
    <t>PAYTM PAYMENTS BANK LIMITED</t>
  </si>
  <si>
    <t>AIRTEL PAYMENTS BANK LIMITED</t>
  </si>
  <si>
    <t>SHIVALIK SMALL FINANCE BANK LIMITED</t>
  </si>
  <si>
    <t>UNITY SMALL FINANCE BANK LIMITED</t>
  </si>
  <si>
    <t>THE HONGKONG AND SHANGHAI BANKING CORPORATION LIMITED</t>
  </si>
  <si>
    <t>NATWEST MARKETS PLC</t>
  </si>
  <si>
    <t>NONGHYUP BANK</t>
  </si>
  <si>
    <t>SONALI BANK PLC</t>
  </si>
  <si>
    <t>AB BANK PLC</t>
  </si>
  <si>
    <t>interest_expense</t>
  </si>
  <si>
    <t>operating_expense</t>
  </si>
  <si>
    <t>bank_name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</si>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</sst>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333333"/>
      <name val="Arial"/>
    </font>
    <font>
      <sz val="9"/>
      <color rgb="FF000000"/>
      <name val="Arial"/>
    </font>
    <font>
      <b/>
      <sz val="9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488AC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49" fontId="3" fillId="2" borderId="0" xfId="0" applyNumberFormat="1" applyFont="1" applyFill="1" applyAlignment="1">
      <alignment horizontal="right"/>
    </xf>
    <xf numFmtId="49" fontId="1" fillId="3" borderId="1" xfId="0" applyNumberFormat="1" applyFont="1" applyFill="1" applyBorder="1" applyAlignment="1">
      <alignment horizontal="left"/>
    </xf>
    <xf numFmtId="4" fontId="1" fillId="3" borderId="0" xfId="0" applyNumberFormat="1" applyFont="1" applyFill="1" applyAlignment="1">
      <alignment horizontal="right"/>
    </xf>
    <xf numFmtId="49" fontId="3" fillId="3" borderId="0" xfId="0" applyNumberFormat="1" applyFont="1" applyFill="1" applyAlignment="1">
      <alignment horizontal="right"/>
    </xf>
    <xf numFmtId="49" fontId="4" fillId="4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left" vertical="center"/>
    </xf>
    <xf numFmtId="14" fontId="4" fillId="4" borderId="2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left" vertical="center"/>
    </xf>
    <xf numFmtId="2" fontId="3" fillId="3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2" fontId="3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12B9-BD44-42C2-AFEF-8A01FA9DBDFB}">
  <dimension ref="A1:D1867"/>
  <sheetViews>
    <sheetView tabSelected="1" zoomScale="72" workbookViewId="0">
      <selection activeCell="L7" sqref="L7"/>
    </sheetView>
  </sheetViews>
  <sheetFormatPr defaultRowHeight="12.5" x14ac:dyDescent="0.25"/>
  <cols>
    <col min="1" max="1" width="10.7265625" customWidth="1"/>
    <col min="2" max="2" width="53.1796875" customWidth="1"/>
    <col min="3" max="4" width="17" customWidth="1"/>
  </cols>
  <sheetData>
    <row r="1" spans="1:4" s="1" customFormat="1" ht="30.5" customHeight="1" x14ac:dyDescent="0.25">
      <c r="A1" s="10" t="s">
        <v>142</v>
      </c>
      <c r="B1" s="7" t="s">
        <v>141</v>
      </c>
      <c r="C1" s="8" t="s">
        <v>139</v>
      </c>
      <c r="D1" s="8" t="s">
        <v>140</v>
      </c>
    </row>
    <row r="2" spans="1:4" s="1" customFormat="1" ht="19.75" customHeight="1" x14ac:dyDescent="0.25">
      <c r="A2" s="9">
        <f>2025</f>
        <v>2025</v>
      </c>
      <c r="B2" s="4" t="s">
        <v>77</v>
      </c>
      <c r="C2" s="13">
        <v>75782.963799999998</v>
      </c>
      <c r="D2" s="13">
        <v>29871.380700000002</v>
      </c>
    </row>
    <row r="3" spans="1:4" s="1" customFormat="1" ht="19.75" customHeight="1" x14ac:dyDescent="0.25">
      <c r="A3" s="9">
        <f>2025</f>
        <v>2025</v>
      </c>
      <c r="B3" s="4" t="s">
        <v>76</v>
      </c>
      <c r="C3" s="14">
        <v>46432.350299999998</v>
      </c>
      <c r="D3" s="14">
        <v>16975.460899999998</v>
      </c>
    </row>
    <row r="4" spans="1:4" s="1" customFormat="1" ht="19.75" customHeight="1" x14ac:dyDescent="0.25">
      <c r="A4" s="9">
        <f>2025</f>
        <v>2025</v>
      </c>
      <c r="B4" s="4" t="s">
        <v>75</v>
      </c>
      <c r="C4" s="13">
        <v>13281.8809</v>
      </c>
      <c r="D4" s="13">
        <v>5800.7148999999999</v>
      </c>
    </row>
    <row r="5" spans="1:4" s="1" customFormat="1" ht="19.75" customHeight="1" x14ac:dyDescent="0.25">
      <c r="A5" s="9">
        <f>2025</f>
        <v>2025</v>
      </c>
      <c r="B5" s="4" t="s">
        <v>74</v>
      </c>
      <c r="C5" s="14">
        <v>82683.112699999998</v>
      </c>
      <c r="D5" s="14">
        <v>28134.4954</v>
      </c>
    </row>
    <row r="6" spans="1:4" s="1" customFormat="1" ht="19.75" customHeight="1" x14ac:dyDescent="0.25">
      <c r="A6" s="9">
        <f>2025</f>
        <v>2025</v>
      </c>
      <c r="B6" s="4" t="s">
        <v>73</v>
      </c>
      <c r="C6" s="13">
        <v>19768.962899999999</v>
      </c>
      <c r="D6" s="13">
        <v>11627.165800000001</v>
      </c>
    </row>
    <row r="7" spans="1:4" s="1" customFormat="1" ht="19.75" customHeight="1" x14ac:dyDescent="0.25">
      <c r="A7" s="9">
        <f>2025</f>
        <v>2025</v>
      </c>
      <c r="B7" s="4" t="s">
        <v>69</v>
      </c>
      <c r="C7" s="14">
        <v>36825.788200000003</v>
      </c>
      <c r="D7" s="14">
        <v>15401.6446</v>
      </c>
    </row>
    <row r="8" spans="1:4" s="1" customFormat="1" ht="19.75" customHeight="1" x14ac:dyDescent="0.25">
      <c r="A8" s="9">
        <f>2025</f>
        <v>2025</v>
      </c>
      <c r="B8" s="4" t="s">
        <v>68</v>
      </c>
      <c r="C8" s="13">
        <v>17240.80287</v>
      </c>
      <c r="D8" s="13">
        <v>7747.2638150000002</v>
      </c>
    </row>
    <row r="9" spans="1:4" s="1" customFormat="1" ht="19.75" customHeight="1" x14ac:dyDescent="0.25">
      <c r="A9" s="9">
        <f>2025</f>
        <v>2025</v>
      </c>
      <c r="B9" s="4" t="s">
        <v>66</v>
      </c>
      <c r="C9" s="14">
        <v>7697.6409999999996</v>
      </c>
      <c r="D9" s="14">
        <v>3276.3879000000002</v>
      </c>
    </row>
    <row r="10" spans="1:4" s="1" customFormat="1" ht="19.75" customHeight="1" x14ac:dyDescent="0.25">
      <c r="A10" s="9">
        <f>2025</f>
        <v>2025</v>
      </c>
      <c r="B10" s="4" t="s">
        <v>65</v>
      </c>
      <c r="C10" s="13">
        <v>78978.557199999996</v>
      </c>
      <c r="D10" s="13">
        <v>32260.871500000001</v>
      </c>
    </row>
    <row r="11" spans="1:4" s="1" customFormat="1" ht="19.75" customHeight="1" x14ac:dyDescent="0.25">
      <c r="A11" s="9">
        <f>2025</f>
        <v>2025</v>
      </c>
      <c r="B11" s="4" t="s">
        <v>85</v>
      </c>
      <c r="C11" s="14">
        <v>295524.22519999999</v>
      </c>
      <c r="D11" s="14">
        <v>118069.02220000001</v>
      </c>
    </row>
    <row r="12" spans="1:4" s="1" customFormat="1" ht="19.75" customHeight="1" x14ac:dyDescent="0.25">
      <c r="A12" s="9">
        <f>2025</f>
        <v>2025</v>
      </c>
      <c r="B12" s="4" t="s">
        <v>63</v>
      </c>
      <c r="C12" s="13">
        <v>15436.827300000001</v>
      </c>
      <c r="D12" s="13">
        <v>7999.4083000000001</v>
      </c>
    </row>
    <row r="13" spans="1:4" s="1" customFormat="1" ht="19.75" customHeight="1" x14ac:dyDescent="0.25">
      <c r="A13" s="9">
        <f>2025</f>
        <v>2025</v>
      </c>
      <c r="B13" s="4" t="s">
        <v>62</v>
      </c>
      <c r="C13" s="14">
        <v>70512.296199999997</v>
      </c>
      <c r="D13" s="14">
        <v>25936.548599999998</v>
      </c>
    </row>
    <row r="14" spans="1:4" s="1" customFormat="1" ht="19.75" customHeight="1" x14ac:dyDescent="0.25">
      <c r="A14" s="9">
        <f>2025</f>
        <v>2025</v>
      </c>
      <c r="B14" s="4" t="s">
        <v>59</v>
      </c>
      <c r="C14" s="13">
        <v>68329.2212</v>
      </c>
      <c r="D14" s="13">
        <v>37499.942799999997</v>
      </c>
    </row>
    <row r="15" spans="1:4" s="1" customFormat="1" ht="19.75" customHeight="1" x14ac:dyDescent="0.25">
      <c r="A15" s="9">
        <f>2025</f>
        <v>2025</v>
      </c>
      <c r="B15" s="4" t="s">
        <v>112</v>
      </c>
      <c r="C15" s="14">
        <v>10457.6451</v>
      </c>
      <c r="D15" s="14">
        <v>7068.4951000000001</v>
      </c>
    </row>
    <row r="16" spans="1:4" s="1" customFormat="1" ht="19.75" customHeight="1" x14ac:dyDescent="0.25">
      <c r="A16" s="9">
        <f>2025</f>
        <v>2025</v>
      </c>
      <c r="B16" s="4" t="s">
        <v>54</v>
      </c>
      <c r="C16" s="13">
        <v>3518.3292000000001</v>
      </c>
      <c r="D16" s="13">
        <v>1535.1495</v>
      </c>
    </row>
    <row r="17" spans="1:4" s="1" customFormat="1" ht="19.75" customHeight="1" x14ac:dyDescent="0.25">
      <c r="A17" s="9">
        <f>2025</f>
        <v>2025</v>
      </c>
      <c r="B17" s="4" t="s">
        <v>53</v>
      </c>
      <c r="C17" s="14">
        <v>2120.9693000000002</v>
      </c>
      <c r="D17" s="14">
        <v>1537.9922999999999</v>
      </c>
    </row>
    <row r="18" spans="1:4" s="1" customFormat="1" ht="19.75" customHeight="1" x14ac:dyDescent="0.25">
      <c r="A18" s="9">
        <f>2025</f>
        <v>2025</v>
      </c>
      <c r="B18" s="4" t="s">
        <v>52</v>
      </c>
      <c r="C18" s="13">
        <v>4364.0176000000001</v>
      </c>
      <c r="D18" s="13">
        <v>1820.0804000000001</v>
      </c>
    </row>
    <row r="19" spans="1:4" s="1" customFormat="1" ht="19.75" customHeight="1" x14ac:dyDescent="0.25">
      <c r="A19" s="9">
        <f>2025</f>
        <v>2025</v>
      </c>
      <c r="B19" s="4" t="s">
        <v>51</v>
      </c>
      <c r="C19" s="14">
        <v>836.59190000000001</v>
      </c>
      <c r="D19" s="14">
        <v>557.38829999999996</v>
      </c>
    </row>
    <row r="20" spans="1:4" s="1" customFormat="1" ht="19.75" customHeight="1" x14ac:dyDescent="0.25">
      <c r="A20" s="9">
        <f>2025</f>
        <v>2025</v>
      </c>
      <c r="B20" s="4" t="s">
        <v>50</v>
      </c>
      <c r="C20" s="13">
        <v>16897.2565</v>
      </c>
      <c r="D20" s="13">
        <v>7168.1109999999999</v>
      </c>
    </row>
    <row r="21" spans="1:4" s="1" customFormat="1" ht="19.75" customHeight="1" x14ac:dyDescent="0.25">
      <c r="A21" s="9">
        <f>2025</f>
        <v>2025</v>
      </c>
      <c r="B21" s="4" t="s">
        <v>48</v>
      </c>
      <c r="C21" s="14">
        <v>177846.95269999999</v>
      </c>
      <c r="D21" s="14">
        <v>68174.881999999998</v>
      </c>
    </row>
    <row r="22" spans="1:4" s="1" customFormat="1" ht="19.75" customHeight="1" x14ac:dyDescent="0.25">
      <c r="A22" s="9">
        <f>2025</f>
        <v>2025</v>
      </c>
      <c r="B22" s="4" t="s">
        <v>47</v>
      </c>
      <c r="C22" s="13">
        <v>82099.343800000002</v>
      </c>
      <c r="D22" s="13">
        <v>42372.3243</v>
      </c>
    </row>
    <row r="23" spans="1:4" s="1" customFormat="1" ht="19.75" customHeight="1" x14ac:dyDescent="0.25">
      <c r="A23" s="9">
        <f>2025</f>
        <v>2025</v>
      </c>
      <c r="B23" s="4" t="s">
        <v>92</v>
      </c>
      <c r="C23" s="14">
        <v>14275.572620000001</v>
      </c>
      <c r="D23" s="14">
        <v>8471.8456249999999</v>
      </c>
    </row>
    <row r="24" spans="1:4" s="1" customFormat="1" ht="19.75" customHeight="1" x14ac:dyDescent="0.25">
      <c r="A24" s="9">
        <f>2025</f>
        <v>2025</v>
      </c>
      <c r="B24" s="4" t="s">
        <v>122</v>
      </c>
      <c r="C24" s="13">
        <v>17209.519400000001</v>
      </c>
      <c r="D24" s="13">
        <v>18898.836449999999</v>
      </c>
    </row>
    <row r="25" spans="1:4" s="1" customFormat="1" ht="19.75" customHeight="1" x14ac:dyDescent="0.25">
      <c r="A25" s="9">
        <f>2025</f>
        <v>2025</v>
      </c>
      <c r="B25" s="4" t="s">
        <v>46</v>
      </c>
      <c r="C25" s="14">
        <v>29636.350299999998</v>
      </c>
      <c r="D25" s="14">
        <v>16070.655199999999</v>
      </c>
    </row>
    <row r="26" spans="1:4" s="1" customFormat="1" ht="19.75" customHeight="1" x14ac:dyDescent="0.25">
      <c r="A26" s="9">
        <f>2025</f>
        <v>2025</v>
      </c>
      <c r="B26" s="4" t="s">
        <v>44</v>
      </c>
      <c r="C26" s="13">
        <v>6742.0429000000004</v>
      </c>
      <c r="D26" s="13">
        <v>4000.8391999999999</v>
      </c>
    </row>
    <row r="27" spans="1:4" s="1" customFormat="1" ht="19.75" customHeight="1" x14ac:dyDescent="0.25">
      <c r="A27" s="9">
        <f>2025</f>
        <v>2025</v>
      </c>
      <c r="B27" s="4" t="s">
        <v>43</v>
      </c>
      <c r="C27" s="14">
        <v>5703.2214000000004</v>
      </c>
      <c r="D27" s="14">
        <v>2752.8564000000001</v>
      </c>
    </row>
    <row r="28" spans="1:4" s="1" customFormat="1" ht="19.75" customHeight="1" x14ac:dyDescent="0.25">
      <c r="A28" s="9">
        <f>2025</f>
        <v>2025</v>
      </c>
      <c r="B28" s="4" t="s">
        <v>42</v>
      </c>
      <c r="C28" s="13">
        <v>5418.1166540000004</v>
      </c>
      <c r="D28" s="13">
        <v>2877.1471529999999</v>
      </c>
    </row>
    <row r="29" spans="1:4" s="1" customFormat="1" ht="19.75" customHeight="1" x14ac:dyDescent="0.25">
      <c r="A29" s="9">
        <f>2025</f>
        <v>2025</v>
      </c>
      <c r="B29" s="4" t="s">
        <v>41</v>
      </c>
      <c r="C29" s="14">
        <v>24577.9512</v>
      </c>
      <c r="D29" s="14">
        <v>18776.4395</v>
      </c>
    </row>
    <row r="30" spans="1:4" s="1" customFormat="1" ht="19.75" customHeight="1" x14ac:dyDescent="0.25">
      <c r="A30" s="9">
        <f>2025</f>
        <v>2025</v>
      </c>
      <c r="B30" s="4" t="s">
        <v>38</v>
      </c>
      <c r="C30" s="13">
        <v>399.589902</v>
      </c>
      <c r="D30" s="13">
        <v>263.23817700000001</v>
      </c>
    </row>
    <row r="31" spans="1:4" s="1" customFormat="1" ht="19.75" customHeight="1" x14ac:dyDescent="0.25">
      <c r="A31" s="9">
        <f>2025</f>
        <v>2025</v>
      </c>
      <c r="B31" s="4" t="s">
        <v>37</v>
      </c>
      <c r="C31" s="14">
        <v>7576.0460999999996</v>
      </c>
      <c r="D31" s="14">
        <v>6642.4143000000004</v>
      </c>
    </row>
    <row r="32" spans="1:4" s="1" customFormat="1" ht="19.75" customHeight="1" x14ac:dyDescent="0.25">
      <c r="A32" s="9">
        <f>2025</f>
        <v>2025</v>
      </c>
      <c r="B32" s="4" t="s">
        <v>34</v>
      </c>
      <c r="C32" s="13">
        <v>5927.6679999999997</v>
      </c>
      <c r="D32" s="13">
        <v>3028.9875999999999</v>
      </c>
    </row>
    <row r="33" spans="1:4" s="1" customFormat="1" ht="19.75" customHeight="1" x14ac:dyDescent="0.25">
      <c r="A33" s="9">
        <f>2025</f>
        <v>2025</v>
      </c>
      <c r="B33" s="4" t="s">
        <v>33</v>
      </c>
      <c r="C33" s="14">
        <v>2990.3401090000002</v>
      </c>
      <c r="D33" s="14">
        <v>1405.673221</v>
      </c>
    </row>
    <row r="34" spans="1:4" s="1" customFormat="1" ht="19.75" customHeight="1" x14ac:dyDescent="0.25">
      <c r="A34" s="9">
        <f>2025</f>
        <v>2025</v>
      </c>
      <c r="B34" s="4" t="s">
        <v>31</v>
      </c>
      <c r="C34" s="13">
        <v>21950.563900000001</v>
      </c>
      <c r="D34" s="13">
        <v>10547.257799999999</v>
      </c>
    </row>
    <row r="35" spans="1:4" s="1" customFormat="1" ht="19.75" customHeight="1" x14ac:dyDescent="0.25">
      <c r="A35" s="9">
        <f>2025</f>
        <v>2025</v>
      </c>
      <c r="B35" s="4" t="s">
        <v>138</v>
      </c>
      <c r="C35" s="14">
        <v>0.364533</v>
      </c>
      <c r="D35" s="14">
        <v>21.395340999999998</v>
      </c>
    </row>
    <row r="36" spans="1:4" s="1" customFormat="1" ht="19.75" customHeight="1" x14ac:dyDescent="0.25">
      <c r="A36" s="9">
        <f>2025</f>
        <v>2025</v>
      </c>
      <c r="B36" s="4" t="s">
        <v>91</v>
      </c>
      <c r="C36" s="13">
        <v>298.77699999999999</v>
      </c>
      <c r="D36" s="13">
        <v>2232.6205</v>
      </c>
    </row>
    <row r="37" spans="1:4" s="1" customFormat="1" ht="19.75" customHeight="1" x14ac:dyDescent="0.25">
      <c r="A37" s="9">
        <f>2025</f>
        <v>2025</v>
      </c>
      <c r="B37" s="4" t="s">
        <v>103</v>
      </c>
      <c r="C37" s="14">
        <v>1376.6365000000001</v>
      </c>
      <c r="D37" s="14">
        <v>196.30930000000001</v>
      </c>
    </row>
    <row r="38" spans="1:4" s="1" customFormat="1" ht="19.75" customHeight="1" x14ac:dyDescent="0.25">
      <c r="A38" s="9">
        <f>2025</f>
        <v>2025</v>
      </c>
      <c r="B38" s="4" t="s">
        <v>27</v>
      </c>
      <c r="C38" s="13">
        <v>2857.7787669999998</v>
      </c>
      <c r="D38" s="13">
        <v>1102.5726970000001</v>
      </c>
    </row>
    <row r="39" spans="1:4" s="1" customFormat="1" ht="19.75" customHeight="1" x14ac:dyDescent="0.25">
      <c r="A39" s="9">
        <f>2025</f>
        <v>2025</v>
      </c>
      <c r="B39" s="4" t="s">
        <v>26</v>
      </c>
      <c r="C39" s="14">
        <v>113.617397</v>
      </c>
      <c r="D39" s="14">
        <v>47.604819999999997</v>
      </c>
    </row>
    <row r="40" spans="1:4" s="1" customFormat="1" ht="19.75" customHeight="1" x14ac:dyDescent="0.25">
      <c r="A40" s="9">
        <f>2025</f>
        <v>2025</v>
      </c>
      <c r="B40" s="4" t="s">
        <v>25</v>
      </c>
      <c r="C40" s="13">
        <v>17.789241000000001</v>
      </c>
      <c r="D40" s="13">
        <v>14.475948000000001</v>
      </c>
    </row>
    <row r="41" spans="1:4" s="1" customFormat="1" ht="19.75" customHeight="1" x14ac:dyDescent="0.25">
      <c r="A41" s="9">
        <f>2025</f>
        <v>2025</v>
      </c>
      <c r="B41" s="4" t="s">
        <v>128</v>
      </c>
      <c r="C41" s="14">
        <v>0.76519999999999999</v>
      </c>
      <c r="D41" s="14">
        <v>36.886200000000002</v>
      </c>
    </row>
    <row r="42" spans="1:4" s="1" customFormat="1" ht="19.75" customHeight="1" x14ac:dyDescent="0.25">
      <c r="A42" s="9">
        <f>2025</f>
        <v>2025</v>
      </c>
      <c r="B42" s="4" t="s">
        <v>24</v>
      </c>
      <c r="C42" s="13">
        <v>1.1772</v>
      </c>
      <c r="D42" s="13">
        <v>72.8078</v>
      </c>
    </row>
    <row r="43" spans="1:4" s="1" customFormat="1" ht="19.75" customHeight="1" x14ac:dyDescent="0.25">
      <c r="A43" s="9">
        <f>2025</f>
        <v>2025</v>
      </c>
      <c r="B43" s="4" t="s">
        <v>23</v>
      </c>
      <c r="C43" s="14">
        <v>1781.0558000000001</v>
      </c>
      <c r="D43" s="14">
        <v>748.00245099999995</v>
      </c>
    </row>
    <row r="44" spans="1:4" s="1" customFormat="1" ht="19.75" customHeight="1" x14ac:dyDescent="0.25">
      <c r="A44" s="9">
        <f>2025</f>
        <v>2025</v>
      </c>
      <c r="B44" s="4" t="s">
        <v>22</v>
      </c>
      <c r="C44" s="13">
        <v>2419.7118</v>
      </c>
      <c r="D44" s="13">
        <v>768.90620000000001</v>
      </c>
    </row>
    <row r="45" spans="1:4" s="1" customFormat="1" ht="19.75" customHeight="1" x14ac:dyDescent="0.25">
      <c r="A45" s="9">
        <f>2025</f>
        <v>2025</v>
      </c>
      <c r="B45" s="4" t="s">
        <v>21</v>
      </c>
      <c r="C45" s="14">
        <v>5273.3205239999998</v>
      </c>
      <c r="D45" s="14">
        <v>6026.9978510000001</v>
      </c>
    </row>
    <row r="46" spans="1:4" s="1" customFormat="1" ht="19.75" customHeight="1" x14ac:dyDescent="0.25">
      <c r="A46" s="9">
        <f>2025</f>
        <v>2025</v>
      </c>
      <c r="B46" s="4" t="s">
        <v>102</v>
      </c>
      <c r="C46" s="6"/>
      <c r="D46" s="13">
        <v>20.872399999999999</v>
      </c>
    </row>
    <row r="47" spans="1:4" s="1" customFormat="1" ht="19.75" customHeight="1" x14ac:dyDescent="0.25">
      <c r="A47" s="9">
        <f>2025</f>
        <v>2025</v>
      </c>
      <c r="B47" s="4" t="s">
        <v>20</v>
      </c>
      <c r="C47" s="2">
        <v>805.893777</v>
      </c>
      <c r="D47" s="14">
        <v>240.76202599999999</v>
      </c>
    </row>
    <row r="48" spans="1:4" s="1" customFormat="1" ht="19.75" customHeight="1" x14ac:dyDescent="0.25">
      <c r="A48" s="9">
        <f>2025</f>
        <v>2025</v>
      </c>
      <c r="B48" s="4" t="s">
        <v>19</v>
      </c>
      <c r="C48" s="5">
        <v>167.13659999999999</v>
      </c>
      <c r="D48" s="13">
        <v>90.102500000000006</v>
      </c>
    </row>
    <row r="49" spans="1:4" s="1" customFormat="1" ht="19.75" customHeight="1" x14ac:dyDescent="0.25">
      <c r="A49" s="9">
        <f>2025</f>
        <v>2025</v>
      </c>
      <c r="B49" s="4" t="s">
        <v>18</v>
      </c>
      <c r="C49" s="2">
        <v>6177.0176000000001</v>
      </c>
      <c r="D49" s="14">
        <v>3857.1023</v>
      </c>
    </row>
    <row r="50" spans="1:4" s="1" customFormat="1" ht="19.75" customHeight="1" x14ac:dyDescent="0.25">
      <c r="A50" s="9">
        <f>2025</f>
        <v>2025</v>
      </c>
      <c r="B50" s="4" t="s">
        <v>17</v>
      </c>
      <c r="C50" s="5">
        <v>4145.6211000000003</v>
      </c>
      <c r="D50" s="13">
        <v>3182.1963000000001</v>
      </c>
    </row>
    <row r="51" spans="1:4" s="1" customFormat="1" ht="19.75" customHeight="1" x14ac:dyDescent="0.25">
      <c r="A51" s="9">
        <f>2025</f>
        <v>2025</v>
      </c>
      <c r="B51" s="4" t="s">
        <v>107</v>
      </c>
      <c r="C51" s="2">
        <v>59.9009</v>
      </c>
      <c r="D51" s="14">
        <v>36.205599999999997</v>
      </c>
    </row>
    <row r="52" spans="1:4" s="1" customFormat="1" ht="19.75" customHeight="1" x14ac:dyDescent="0.25">
      <c r="A52" s="9">
        <f>2025</f>
        <v>2025</v>
      </c>
      <c r="B52" s="4" t="s">
        <v>120</v>
      </c>
      <c r="C52" s="5">
        <v>441.88560000000001</v>
      </c>
      <c r="D52" s="13">
        <v>158.04040000000001</v>
      </c>
    </row>
    <row r="53" spans="1:4" s="1" customFormat="1" ht="19.75" customHeight="1" x14ac:dyDescent="0.25">
      <c r="A53" s="9">
        <f>2025</f>
        <v>2025</v>
      </c>
      <c r="B53" s="4" t="s">
        <v>110</v>
      </c>
      <c r="C53" s="2">
        <v>311.00229999999999</v>
      </c>
      <c r="D53" s="14">
        <v>105.0902</v>
      </c>
    </row>
    <row r="54" spans="1:4" s="1" customFormat="1" ht="19.75" customHeight="1" x14ac:dyDescent="0.25">
      <c r="A54" s="9">
        <f>2025</f>
        <v>2025</v>
      </c>
      <c r="B54" s="4" t="s">
        <v>94</v>
      </c>
      <c r="C54" s="6"/>
      <c r="D54" s="13">
        <v>27.761099999999999</v>
      </c>
    </row>
    <row r="55" spans="1:4" s="1" customFormat="1" ht="19.75" customHeight="1" x14ac:dyDescent="0.25">
      <c r="A55" s="9">
        <f>2025</f>
        <v>2025</v>
      </c>
      <c r="B55" s="4" t="s">
        <v>100</v>
      </c>
      <c r="C55" s="2">
        <v>228.89080000000001</v>
      </c>
      <c r="D55" s="14">
        <v>61.169699999999999</v>
      </c>
    </row>
    <row r="56" spans="1:4" s="1" customFormat="1" ht="19.75" customHeight="1" x14ac:dyDescent="0.25">
      <c r="A56" s="9">
        <f>2025</f>
        <v>2025</v>
      </c>
      <c r="B56" s="4" t="s">
        <v>109</v>
      </c>
      <c r="C56" s="5">
        <v>12.3879</v>
      </c>
      <c r="D56" s="13">
        <v>22.3066</v>
      </c>
    </row>
    <row r="57" spans="1:4" s="1" customFormat="1" ht="19.75" customHeight="1" x14ac:dyDescent="0.25">
      <c r="A57" s="9">
        <f>2025</f>
        <v>2025</v>
      </c>
      <c r="B57" s="4" t="s">
        <v>13</v>
      </c>
      <c r="C57" s="2">
        <v>3076.3588</v>
      </c>
      <c r="D57" s="14">
        <v>1098.6945000000001</v>
      </c>
    </row>
    <row r="58" spans="1:4" s="1" customFormat="1" ht="19.75" customHeight="1" x14ac:dyDescent="0.25">
      <c r="A58" s="9">
        <f>2025</f>
        <v>2025</v>
      </c>
      <c r="B58" s="4" t="s">
        <v>90</v>
      </c>
      <c r="C58" s="6"/>
      <c r="D58" s="13">
        <v>38.522399999999998</v>
      </c>
    </row>
    <row r="59" spans="1:4" s="1" customFormat="1" ht="19.75" customHeight="1" x14ac:dyDescent="0.25">
      <c r="A59" s="9">
        <f>2025</f>
        <v>2025</v>
      </c>
      <c r="B59" s="4" t="s">
        <v>108</v>
      </c>
      <c r="C59" s="2">
        <v>182.7722</v>
      </c>
      <c r="D59" s="14">
        <v>47.692900000000002</v>
      </c>
    </row>
    <row r="60" spans="1:4" s="1" customFormat="1" ht="19.75" customHeight="1" x14ac:dyDescent="0.25">
      <c r="A60" s="9">
        <f>2025</f>
        <v>2025</v>
      </c>
      <c r="B60" s="4" t="s">
        <v>127</v>
      </c>
      <c r="C60" s="5">
        <v>192.17449999999999</v>
      </c>
      <c r="D60" s="13">
        <v>52.044899999999998</v>
      </c>
    </row>
    <row r="61" spans="1:4" s="1" customFormat="1" ht="19.75" customHeight="1" x14ac:dyDescent="0.25">
      <c r="A61" s="9">
        <f>2025</f>
        <v>2025</v>
      </c>
      <c r="B61" s="4" t="s">
        <v>10</v>
      </c>
      <c r="C61" s="2">
        <v>47.450499999999998</v>
      </c>
      <c r="D61" s="14">
        <v>64.193700000000007</v>
      </c>
    </row>
    <row r="62" spans="1:4" s="1" customFormat="1" ht="19.75" customHeight="1" x14ac:dyDescent="0.25">
      <c r="A62" s="9">
        <f>2025</f>
        <v>2025</v>
      </c>
      <c r="B62" s="4" t="s">
        <v>9</v>
      </c>
      <c r="C62" s="5">
        <v>2098.1251999999999</v>
      </c>
      <c r="D62" s="13">
        <v>503.26010000000002</v>
      </c>
    </row>
    <row r="63" spans="1:4" s="1" customFormat="1" ht="19.75" customHeight="1" x14ac:dyDescent="0.25">
      <c r="A63" s="9">
        <f>2025</f>
        <v>2025</v>
      </c>
      <c r="B63" s="4" t="s">
        <v>8</v>
      </c>
      <c r="C63" s="2">
        <v>1457.3996999999999</v>
      </c>
      <c r="D63" s="14">
        <v>807.49680000000001</v>
      </c>
    </row>
    <row r="64" spans="1:4" s="1" customFormat="1" ht="19.75" customHeight="1" x14ac:dyDescent="0.25">
      <c r="A64" s="9">
        <f>2025</f>
        <v>2025</v>
      </c>
      <c r="B64" s="4" t="s">
        <v>135</v>
      </c>
      <c r="C64" s="5">
        <v>167.86689999999999</v>
      </c>
      <c r="D64" s="13">
        <v>72.605999999999995</v>
      </c>
    </row>
    <row r="65" spans="1:4" s="1" customFormat="1" ht="19.75" customHeight="1" x14ac:dyDescent="0.25">
      <c r="A65" s="9">
        <f>2025</f>
        <v>2025</v>
      </c>
      <c r="B65" s="4" t="s">
        <v>136</v>
      </c>
      <c r="C65" s="2">
        <v>0.43059999999999998</v>
      </c>
      <c r="D65" s="14">
        <v>22.233499999999999</v>
      </c>
    </row>
    <row r="66" spans="1:4" s="1" customFormat="1" ht="19.75" customHeight="1" x14ac:dyDescent="0.25">
      <c r="A66" s="9">
        <f>2025</f>
        <v>2025</v>
      </c>
      <c r="B66" s="4" t="s">
        <v>7</v>
      </c>
      <c r="C66" s="5">
        <v>7.4893000000000001</v>
      </c>
      <c r="D66" s="13">
        <v>23.842700000000001</v>
      </c>
    </row>
    <row r="67" spans="1:4" s="1" customFormat="1" ht="19.75" customHeight="1" x14ac:dyDescent="0.25">
      <c r="A67" s="9">
        <f>2025</f>
        <v>2025</v>
      </c>
      <c r="B67" s="4" t="s">
        <v>119</v>
      </c>
      <c r="C67" s="2">
        <v>110.02030000000001</v>
      </c>
      <c r="D67" s="14">
        <v>45.021099999999997</v>
      </c>
    </row>
    <row r="68" spans="1:4" s="1" customFormat="1" ht="19.75" customHeight="1" x14ac:dyDescent="0.25">
      <c r="A68" s="9">
        <f>2025</f>
        <v>2025</v>
      </c>
      <c r="B68" s="4" t="s">
        <v>98</v>
      </c>
      <c r="C68" s="5">
        <v>0.216976</v>
      </c>
      <c r="D68" s="13">
        <v>176.13685799999999</v>
      </c>
    </row>
    <row r="69" spans="1:4" s="1" customFormat="1" ht="19.75" customHeight="1" x14ac:dyDescent="0.25">
      <c r="A69" s="9">
        <f>2025</f>
        <v>2025</v>
      </c>
      <c r="B69" s="4" t="s">
        <v>6</v>
      </c>
      <c r="C69" s="2">
        <v>545.0702</v>
      </c>
      <c r="D69" s="14">
        <v>434.07190000000003</v>
      </c>
    </row>
    <row r="70" spans="1:4" s="1" customFormat="1" ht="19.75" customHeight="1" x14ac:dyDescent="0.25">
      <c r="A70" s="9">
        <f>2025</f>
        <v>2025</v>
      </c>
      <c r="B70" s="4" t="s">
        <v>5</v>
      </c>
      <c r="C70" s="5">
        <v>736.40020000000004</v>
      </c>
      <c r="D70" s="13">
        <v>188.9109</v>
      </c>
    </row>
    <row r="71" spans="1:4" s="1" customFormat="1" ht="19.75" customHeight="1" x14ac:dyDescent="0.25">
      <c r="A71" s="9">
        <f>2025</f>
        <v>2025</v>
      </c>
      <c r="B71" s="4" t="s">
        <v>4</v>
      </c>
      <c r="C71" s="2">
        <v>194.56530000000001</v>
      </c>
      <c r="D71" s="14">
        <v>189.7944</v>
      </c>
    </row>
    <row r="72" spans="1:4" s="1" customFormat="1" ht="19.75" customHeight="1" x14ac:dyDescent="0.25">
      <c r="A72" s="9">
        <f>2025</f>
        <v>2025</v>
      </c>
      <c r="B72" s="4" t="s">
        <v>137</v>
      </c>
      <c r="C72" s="5">
        <v>1.5825</v>
      </c>
      <c r="D72" s="13">
        <v>11.675599999999999</v>
      </c>
    </row>
    <row r="73" spans="1:4" s="1" customFormat="1" ht="19.75" customHeight="1" x14ac:dyDescent="0.25">
      <c r="A73" s="9">
        <f>2025</f>
        <v>2025</v>
      </c>
      <c r="B73" s="4" t="s">
        <v>2</v>
      </c>
      <c r="C73" s="2">
        <v>7431.2910000000002</v>
      </c>
      <c r="D73" s="14">
        <v>8846.6098999999995</v>
      </c>
    </row>
    <row r="74" spans="1:4" s="1" customFormat="1" ht="19.75" customHeight="1" x14ac:dyDescent="0.25">
      <c r="A74" s="9">
        <f>2025</f>
        <v>2025</v>
      </c>
      <c r="B74" s="4" t="s">
        <v>105</v>
      </c>
      <c r="C74" s="5">
        <v>2148.8228610000001</v>
      </c>
      <c r="D74" s="13">
        <v>464.06953700000003</v>
      </c>
    </row>
    <row r="75" spans="1:4" s="1" customFormat="1" ht="19.75" customHeight="1" x14ac:dyDescent="0.25">
      <c r="A75" s="9">
        <f>2025</f>
        <v>2025</v>
      </c>
      <c r="B75" s="4" t="s">
        <v>134</v>
      </c>
      <c r="C75" s="2">
        <v>10562.56846</v>
      </c>
      <c r="D75" s="14">
        <v>6525.278112</v>
      </c>
    </row>
    <row r="76" spans="1:4" s="1" customFormat="1" ht="19.75" customHeight="1" x14ac:dyDescent="0.25">
      <c r="A76" s="9">
        <f>2025</f>
        <v>2025</v>
      </c>
      <c r="B76" s="4" t="s">
        <v>89</v>
      </c>
      <c r="C76" s="5">
        <v>79.772599999999997</v>
      </c>
      <c r="D76" s="13">
        <v>57.929099999999998</v>
      </c>
    </row>
    <row r="77" spans="1:4" s="1" customFormat="1" ht="19.75" customHeight="1" x14ac:dyDescent="0.25">
      <c r="A77" s="9">
        <f>2025</f>
        <v>2025</v>
      </c>
      <c r="B77" s="4" t="s">
        <v>95</v>
      </c>
      <c r="C77" s="2">
        <v>26.111000000000001</v>
      </c>
      <c r="D77" s="14">
        <v>35.572000000000003</v>
      </c>
    </row>
    <row r="78" spans="1:4" s="1" customFormat="1" ht="19.75" customHeight="1" x14ac:dyDescent="0.25">
      <c r="A78" s="9">
        <f>2025</f>
        <v>2025</v>
      </c>
      <c r="B78" s="4" t="s">
        <v>97</v>
      </c>
      <c r="C78" s="5">
        <v>308.71699999999998</v>
      </c>
      <c r="D78" s="13">
        <v>76.921599999999998</v>
      </c>
    </row>
    <row r="79" spans="1:4" s="1" customFormat="1" ht="19.75" customHeight="1" x14ac:dyDescent="0.25">
      <c r="A79" s="9">
        <f>2025</f>
        <v>2025</v>
      </c>
      <c r="B79" s="4" t="s">
        <v>118</v>
      </c>
      <c r="C79" s="2">
        <v>8052.1494149999999</v>
      </c>
      <c r="D79" s="14">
        <v>5957.2153079999998</v>
      </c>
    </row>
    <row r="80" spans="1:4" s="1" customFormat="1" ht="19.75" customHeight="1" x14ac:dyDescent="0.25">
      <c r="A80" s="9">
        <f>2025</f>
        <v>2025</v>
      </c>
      <c r="B80" s="4" t="s">
        <v>114</v>
      </c>
      <c r="C80" s="5">
        <v>498.30489999999998</v>
      </c>
      <c r="D80" s="13">
        <v>310.78680000000003</v>
      </c>
    </row>
    <row r="81" spans="1:4" s="1" customFormat="1" ht="19.75" customHeight="1" x14ac:dyDescent="0.25">
      <c r="A81" s="9">
        <f>2025</f>
        <v>2025</v>
      </c>
      <c r="B81" s="4" t="s">
        <v>113</v>
      </c>
      <c r="C81" s="2">
        <v>3060.1124</v>
      </c>
      <c r="D81" s="14">
        <v>2828.8344999999999</v>
      </c>
    </row>
    <row r="82" spans="1:4" s="1" customFormat="1" ht="19.75" customHeight="1" x14ac:dyDescent="0.25">
      <c r="A82" s="9">
        <f>2025</f>
        <v>2025</v>
      </c>
      <c r="B82" s="4" t="s">
        <v>121</v>
      </c>
      <c r="C82" s="5">
        <v>1810.6896999999999</v>
      </c>
      <c r="D82" s="13">
        <v>1961.5082</v>
      </c>
    </row>
    <row r="83" spans="1:4" s="1" customFormat="1" ht="19.75" customHeight="1" x14ac:dyDescent="0.25">
      <c r="A83" s="9">
        <f>2025</f>
        <v>2025</v>
      </c>
      <c r="B83" s="4" t="s">
        <v>125</v>
      </c>
      <c r="C83" s="2">
        <v>2316.6561999999999</v>
      </c>
      <c r="D83" s="14">
        <v>1942.6279</v>
      </c>
    </row>
    <row r="84" spans="1:4" s="1" customFormat="1" ht="19.75" customHeight="1" x14ac:dyDescent="0.25">
      <c r="A84" s="9">
        <f>2025</f>
        <v>2025</v>
      </c>
      <c r="B84" s="4" t="s">
        <v>124</v>
      </c>
      <c r="C84" s="5">
        <v>200.53801100000001</v>
      </c>
      <c r="D84" s="13">
        <v>481.15015699999998</v>
      </c>
    </row>
    <row r="85" spans="1:4" s="1" customFormat="1" ht="19.75" customHeight="1" x14ac:dyDescent="0.25">
      <c r="A85" s="9">
        <f>2025</f>
        <v>2025</v>
      </c>
      <c r="B85" s="4" t="s">
        <v>132</v>
      </c>
      <c r="C85" s="2">
        <v>207.6918</v>
      </c>
      <c r="D85" s="14">
        <v>194.27950000000001</v>
      </c>
    </row>
    <row r="86" spans="1:4" s="1" customFormat="1" ht="19.75" customHeight="1" x14ac:dyDescent="0.25">
      <c r="A86" s="9">
        <f>2025</f>
        <v>2025</v>
      </c>
      <c r="B86" s="4" t="s">
        <v>117</v>
      </c>
      <c r="C86" s="5">
        <v>847.61065799999994</v>
      </c>
      <c r="D86" s="13">
        <v>934.18818499999998</v>
      </c>
    </row>
    <row r="87" spans="1:4" s="1" customFormat="1" ht="19.75" customHeight="1" x14ac:dyDescent="0.25">
      <c r="A87" s="9">
        <f>2025</f>
        <v>2025</v>
      </c>
      <c r="B87" s="4" t="s">
        <v>116</v>
      </c>
      <c r="C87" s="2">
        <v>2718.1225060000002</v>
      </c>
      <c r="D87" s="14">
        <v>2793.2379470000001</v>
      </c>
    </row>
    <row r="88" spans="1:4" s="1" customFormat="1" ht="19.75" customHeight="1" x14ac:dyDescent="0.25">
      <c r="A88" s="9">
        <f>2025</f>
        <v>2025</v>
      </c>
      <c r="B88" s="4" t="s">
        <v>133</v>
      </c>
      <c r="C88" s="5">
        <v>881.68187799999998</v>
      </c>
      <c r="D88" s="13">
        <v>1227.4396529999999</v>
      </c>
    </row>
    <row r="89" spans="1:4" s="1" customFormat="1" ht="19.75" customHeight="1" x14ac:dyDescent="0.25">
      <c r="A89" s="9">
        <f>2025</f>
        <v>2025</v>
      </c>
      <c r="B89" s="4" t="s">
        <v>115</v>
      </c>
      <c r="C89" s="2">
        <v>1742.0624</v>
      </c>
      <c r="D89" s="14">
        <v>1615.7659000000001</v>
      </c>
    </row>
    <row r="90" spans="1:4" s="1" customFormat="1" ht="19.75" customHeight="1" x14ac:dyDescent="0.25">
      <c r="A90" s="9">
        <f>2025</f>
        <v>2025</v>
      </c>
      <c r="B90" s="4" t="s">
        <v>131</v>
      </c>
      <c r="C90" s="5">
        <v>61.836106999999998</v>
      </c>
      <c r="D90" s="13">
        <v>2604.225195</v>
      </c>
    </row>
    <row r="91" spans="1:4" s="1" customFormat="1" ht="19.75" customHeight="1" x14ac:dyDescent="0.25">
      <c r="A91" s="9">
        <f>2025</f>
        <v>2025</v>
      </c>
      <c r="B91" s="4" t="s">
        <v>129</v>
      </c>
      <c r="C91" s="2">
        <v>100.5844</v>
      </c>
      <c r="D91" s="14">
        <v>1638.1656</v>
      </c>
    </row>
    <row r="92" spans="1:4" s="1" customFormat="1" ht="19.75" customHeight="1" x14ac:dyDescent="0.25">
      <c r="A92" s="9">
        <f>2025</f>
        <v>2025</v>
      </c>
      <c r="B92" s="4" t="s">
        <v>123</v>
      </c>
      <c r="C92" s="5">
        <v>366.67129999999997</v>
      </c>
      <c r="D92" s="13">
        <v>1513.0364</v>
      </c>
    </row>
    <row r="93" spans="1:4" s="1" customFormat="1" ht="19.75" customHeight="1" x14ac:dyDescent="0.25">
      <c r="A93" s="9">
        <f>2025</f>
        <v>2025</v>
      </c>
      <c r="B93" s="4" t="s">
        <v>130</v>
      </c>
      <c r="C93" s="2">
        <v>8.4026999999999994</v>
      </c>
      <c r="D93" s="14">
        <v>314.71280000000002</v>
      </c>
    </row>
    <row r="94" spans="1:4" s="1" customFormat="1" ht="19.75" customHeight="1" x14ac:dyDescent="0.25">
      <c r="A94" s="9">
        <f>2024</f>
        <v>2024</v>
      </c>
      <c r="B94" s="4" t="s">
        <v>77</v>
      </c>
      <c r="C94" s="5">
        <v>67884.411300000007</v>
      </c>
      <c r="D94" s="13">
        <v>28251.675599999999</v>
      </c>
    </row>
    <row r="95" spans="1:4" s="1" customFormat="1" ht="19.75" customHeight="1" x14ac:dyDescent="0.25">
      <c r="A95" s="9">
        <f>2024</f>
        <v>2024</v>
      </c>
      <c r="B95" s="4" t="s">
        <v>76</v>
      </c>
      <c r="C95" s="2">
        <v>37656.5746</v>
      </c>
      <c r="D95" s="14">
        <v>15079.1633</v>
      </c>
    </row>
    <row r="96" spans="1:4" s="1" customFormat="1" ht="19.75" customHeight="1" x14ac:dyDescent="0.25">
      <c r="A96" s="9">
        <f>2024</f>
        <v>2024</v>
      </c>
      <c r="B96" s="4" t="s">
        <v>75</v>
      </c>
      <c r="C96" s="5">
        <v>10672.843699999999</v>
      </c>
      <c r="D96" s="13">
        <v>4814.3729000000003</v>
      </c>
    </row>
    <row r="97" spans="1:4" s="1" customFormat="1" ht="19.75" customHeight="1" x14ac:dyDescent="0.25">
      <c r="A97" s="9">
        <f>2024</f>
        <v>2024</v>
      </c>
      <c r="B97" s="4" t="s">
        <v>74</v>
      </c>
      <c r="C97" s="2">
        <v>72121.988599999997</v>
      </c>
      <c r="D97" s="14">
        <v>26119.795999999998</v>
      </c>
    </row>
    <row r="98" spans="1:4" s="1" customFormat="1" ht="19.75" customHeight="1" x14ac:dyDescent="0.25">
      <c r="A98" s="9">
        <f>2024</f>
        <v>2024</v>
      </c>
      <c r="B98" s="4" t="s">
        <v>73</v>
      </c>
      <c r="C98" s="5">
        <v>17825.912199999999</v>
      </c>
      <c r="D98" s="13">
        <v>10244.9154</v>
      </c>
    </row>
    <row r="99" spans="1:4" s="1" customFormat="1" ht="19.75" customHeight="1" x14ac:dyDescent="0.25">
      <c r="A99" s="9">
        <f>2024</f>
        <v>2024</v>
      </c>
      <c r="B99" s="4" t="s">
        <v>69</v>
      </c>
      <c r="C99" s="2">
        <v>32341.4951</v>
      </c>
      <c r="D99" s="14">
        <v>14300.455900000001</v>
      </c>
    </row>
    <row r="100" spans="1:4" s="1" customFormat="1" ht="19.75" customHeight="1" x14ac:dyDescent="0.25">
      <c r="A100" s="9">
        <f>2024</f>
        <v>2024</v>
      </c>
      <c r="B100" s="4" t="s">
        <v>68</v>
      </c>
      <c r="C100" s="5">
        <v>14220.320369999999</v>
      </c>
      <c r="D100" s="13">
        <v>8721.9075439999997</v>
      </c>
    </row>
    <row r="101" spans="1:4" s="1" customFormat="1" ht="19.75" customHeight="1" x14ac:dyDescent="0.25">
      <c r="A101" s="9">
        <f>2024</f>
        <v>2024</v>
      </c>
      <c r="B101" s="4" t="s">
        <v>66</v>
      </c>
      <c r="C101" s="2">
        <v>6852.9339</v>
      </c>
      <c r="D101" s="14">
        <v>2931.5740000000001</v>
      </c>
    </row>
    <row r="102" spans="1:4" s="1" customFormat="1" ht="19.75" customHeight="1" x14ac:dyDescent="0.25">
      <c r="A102" s="9">
        <f>2024</f>
        <v>2024</v>
      </c>
      <c r="B102" s="4" t="s">
        <v>65</v>
      </c>
      <c r="C102" s="5">
        <v>66818.551999999996</v>
      </c>
      <c r="D102" s="13">
        <v>28535.797999999999</v>
      </c>
    </row>
    <row r="103" spans="1:4" s="1" customFormat="1" ht="19.75" customHeight="1" x14ac:dyDescent="0.25">
      <c r="A103" s="9">
        <f>2024</f>
        <v>2024</v>
      </c>
      <c r="B103" s="4" t="s">
        <v>85</v>
      </c>
      <c r="C103" s="2">
        <v>255254.82879999999</v>
      </c>
      <c r="D103" s="14">
        <v>124860.8135</v>
      </c>
    </row>
    <row r="104" spans="1:4" s="1" customFormat="1" ht="19.75" customHeight="1" x14ac:dyDescent="0.25">
      <c r="A104" s="9">
        <f>2024</f>
        <v>2024</v>
      </c>
      <c r="B104" s="4" t="s">
        <v>63</v>
      </c>
      <c r="C104" s="5">
        <v>13753.5555</v>
      </c>
      <c r="D104" s="13">
        <v>6790.0639000000001</v>
      </c>
    </row>
    <row r="105" spans="1:4" s="1" customFormat="1" ht="19.75" customHeight="1" x14ac:dyDescent="0.25">
      <c r="A105" s="9">
        <f>2024</f>
        <v>2024</v>
      </c>
      <c r="B105" s="4" t="s">
        <v>62</v>
      </c>
      <c r="C105" s="2">
        <v>63207.561099999999</v>
      </c>
      <c r="D105" s="14">
        <v>24439.959800000001</v>
      </c>
    </row>
    <row r="106" spans="1:4" s="1" customFormat="1" ht="19.75" customHeight="1" x14ac:dyDescent="0.25">
      <c r="A106" s="9">
        <f>2024</f>
        <v>2024</v>
      </c>
      <c r="B106" s="4" t="s">
        <v>59</v>
      </c>
      <c r="C106" s="5">
        <v>59474.145900000003</v>
      </c>
      <c r="D106" s="13">
        <v>35213.284</v>
      </c>
    </row>
    <row r="107" spans="1:4" s="1" customFormat="1" ht="19.75" customHeight="1" x14ac:dyDescent="0.25">
      <c r="A107" s="9">
        <f>2024</f>
        <v>2024</v>
      </c>
      <c r="B107" s="4" t="s">
        <v>112</v>
      </c>
      <c r="C107" s="2">
        <v>8550.7766300000003</v>
      </c>
      <c r="D107" s="14">
        <v>5850.7777900000001</v>
      </c>
    </row>
    <row r="108" spans="1:4" s="1" customFormat="1" ht="19.75" customHeight="1" x14ac:dyDescent="0.25">
      <c r="A108" s="9">
        <f>2024</f>
        <v>2024</v>
      </c>
      <c r="B108" s="4" t="s">
        <v>54</v>
      </c>
      <c r="C108" s="5">
        <v>3147.1008000000002</v>
      </c>
      <c r="D108" s="13">
        <v>1348.3887</v>
      </c>
    </row>
    <row r="109" spans="1:4" s="1" customFormat="1" ht="19.75" customHeight="1" x14ac:dyDescent="0.25">
      <c r="A109" s="9">
        <f>2024</f>
        <v>2024</v>
      </c>
      <c r="B109" s="4" t="s">
        <v>53</v>
      </c>
      <c r="C109" s="2">
        <v>1451.1279</v>
      </c>
      <c r="D109" s="14">
        <v>1280.779</v>
      </c>
    </row>
    <row r="110" spans="1:4" s="1" customFormat="1" ht="19.75" customHeight="1" x14ac:dyDescent="0.25">
      <c r="A110" s="9">
        <f>2024</f>
        <v>2024</v>
      </c>
      <c r="B110" s="4" t="s">
        <v>52</v>
      </c>
      <c r="C110" s="5">
        <v>3434.1406999999999</v>
      </c>
      <c r="D110" s="13">
        <v>1537.691</v>
      </c>
    </row>
    <row r="111" spans="1:4" s="1" customFormat="1" ht="19.75" customHeight="1" x14ac:dyDescent="0.25">
      <c r="A111" s="9">
        <f>2024</f>
        <v>2024</v>
      </c>
      <c r="B111" s="4" t="s">
        <v>51</v>
      </c>
      <c r="C111" s="2">
        <v>748.53890000000001</v>
      </c>
      <c r="D111" s="14">
        <v>541.74950000000001</v>
      </c>
    </row>
    <row r="112" spans="1:4" s="1" customFormat="1" ht="19.75" customHeight="1" x14ac:dyDescent="0.25">
      <c r="A112" s="9">
        <f>2024</f>
        <v>2024</v>
      </c>
      <c r="B112" s="4" t="s">
        <v>50</v>
      </c>
      <c r="C112" s="5">
        <v>13894.7754</v>
      </c>
      <c r="D112" s="13">
        <v>6198.2694000000001</v>
      </c>
    </row>
    <row r="113" spans="1:4" s="1" customFormat="1" ht="19.75" customHeight="1" x14ac:dyDescent="0.25">
      <c r="A113" s="9">
        <f>2024</f>
        <v>2024</v>
      </c>
      <c r="B113" s="4" t="s">
        <v>48</v>
      </c>
      <c r="C113" s="2">
        <v>149808.10079999999</v>
      </c>
      <c r="D113" s="14">
        <v>63386.023999999998</v>
      </c>
    </row>
    <row r="114" spans="1:4" s="1" customFormat="1" ht="19.75" customHeight="1" x14ac:dyDescent="0.25">
      <c r="A114" s="9">
        <f>2024</f>
        <v>2024</v>
      </c>
      <c r="B114" s="4" t="s">
        <v>47</v>
      </c>
      <c r="C114" s="5">
        <v>68585.223599999998</v>
      </c>
      <c r="D114" s="13">
        <v>39132.7336</v>
      </c>
    </row>
    <row r="115" spans="1:4" s="1" customFormat="1" ht="19.75" customHeight="1" x14ac:dyDescent="0.25">
      <c r="A115" s="9">
        <f>2024</f>
        <v>2024</v>
      </c>
      <c r="B115" s="4" t="s">
        <v>92</v>
      </c>
      <c r="C115" s="2">
        <v>12239.6949</v>
      </c>
      <c r="D115" s="14">
        <v>8205.2963</v>
      </c>
    </row>
    <row r="116" spans="1:4" s="1" customFormat="1" ht="19.75" customHeight="1" x14ac:dyDescent="0.25">
      <c r="A116" s="9">
        <f>2024</f>
        <v>2024</v>
      </c>
      <c r="B116" s="4" t="s">
        <v>122</v>
      </c>
      <c r="C116" s="5">
        <v>13871.745790000001</v>
      </c>
      <c r="D116" s="13">
        <v>16215.7804</v>
      </c>
    </row>
    <row r="117" spans="1:4" s="1" customFormat="1" ht="19.75" customHeight="1" x14ac:dyDescent="0.25">
      <c r="A117" s="9">
        <f>2024</f>
        <v>2024</v>
      </c>
      <c r="B117" s="4" t="s">
        <v>46</v>
      </c>
      <c r="C117" s="2">
        <v>25132.294300000001</v>
      </c>
      <c r="D117" s="14">
        <v>14263.4912</v>
      </c>
    </row>
    <row r="118" spans="1:4" s="1" customFormat="1" ht="19.75" customHeight="1" x14ac:dyDescent="0.25">
      <c r="A118" s="9">
        <f>2024</f>
        <v>2024</v>
      </c>
      <c r="B118" s="4" t="s">
        <v>44</v>
      </c>
      <c r="C118" s="5">
        <v>6008.6768000000002</v>
      </c>
      <c r="D118" s="13">
        <v>3752.2856999999999</v>
      </c>
    </row>
    <row r="119" spans="1:4" s="1" customFormat="1" ht="19.75" customHeight="1" x14ac:dyDescent="0.25">
      <c r="A119" s="9">
        <f>2024</f>
        <v>2024</v>
      </c>
      <c r="B119" s="4" t="s">
        <v>43</v>
      </c>
      <c r="C119" s="2">
        <v>4999.777</v>
      </c>
      <c r="D119" s="14">
        <v>2454.3368</v>
      </c>
    </row>
    <row r="120" spans="1:4" s="1" customFormat="1" ht="19.75" customHeight="1" x14ac:dyDescent="0.25">
      <c r="A120" s="9">
        <f>2024</f>
        <v>2024</v>
      </c>
      <c r="B120" s="4" t="s">
        <v>42</v>
      </c>
      <c r="C120" s="5">
        <v>4394.7416270000003</v>
      </c>
      <c r="D120" s="13">
        <v>2638.7500060000002</v>
      </c>
    </row>
    <row r="121" spans="1:4" s="1" customFormat="1" ht="19.75" customHeight="1" x14ac:dyDescent="0.25">
      <c r="A121" s="9">
        <f>2024</f>
        <v>2024</v>
      </c>
      <c r="B121" s="4" t="s">
        <v>41</v>
      </c>
      <c r="C121" s="2">
        <v>19805.710899999998</v>
      </c>
      <c r="D121" s="14">
        <v>16678.846000000001</v>
      </c>
    </row>
    <row r="122" spans="1:4" s="1" customFormat="1" ht="19.75" customHeight="1" x14ac:dyDescent="0.25">
      <c r="A122" s="9">
        <f>2024</f>
        <v>2024</v>
      </c>
      <c r="B122" s="4" t="s">
        <v>38</v>
      </c>
      <c r="C122" s="5">
        <v>372.04578500000002</v>
      </c>
      <c r="D122" s="13">
        <v>275.58982800000001</v>
      </c>
    </row>
    <row r="123" spans="1:4" s="1" customFormat="1" ht="19.75" customHeight="1" x14ac:dyDescent="0.25">
      <c r="A123" s="9">
        <f>2024</f>
        <v>2024</v>
      </c>
      <c r="B123" s="4" t="s">
        <v>37</v>
      </c>
      <c r="C123" s="2">
        <v>6351.4075000000003</v>
      </c>
      <c r="D123" s="14">
        <v>6055.0321000000004</v>
      </c>
    </row>
    <row r="124" spans="1:4" s="1" customFormat="1" ht="19.75" customHeight="1" x14ac:dyDescent="0.25">
      <c r="A124" s="9">
        <f>2024</f>
        <v>2024</v>
      </c>
      <c r="B124" s="4" t="s">
        <v>34</v>
      </c>
      <c r="C124" s="5">
        <v>5280.7529000000004</v>
      </c>
      <c r="D124" s="13">
        <v>2979.9029</v>
      </c>
    </row>
    <row r="125" spans="1:4" s="1" customFormat="1" ht="19.75" customHeight="1" x14ac:dyDescent="0.25">
      <c r="A125" s="9">
        <f>2024</f>
        <v>2024</v>
      </c>
      <c r="B125" s="4" t="s">
        <v>33</v>
      </c>
      <c r="C125" s="2">
        <v>2697.015852</v>
      </c>
      <c r="D125" s="14">
        <v>1314.060573</v>
      </c>
    </row>
    <row r="126" spans="1:4" s="1" customFormat="1" ht="19.75" customHeight="1" x14ac:dyDescent="0.25">
      <c r="A126" s="9">
        <f>2024</f>
        <v>2024</v>
      </c>
      <c r="B126" s="4" t="s">
        <v>31</v>
      </c>
      <c r="C126" s="5">
        <v>19491.318200000002</v>
      </c>
      <c r="D126" s="13">
        <v>9822.6576000000005</v>
      </c>
    </row>
    <row r="127" spans="1:4" s="1" customFormat="1" ht="19.75" customHeight="1" x14ac:dyDescent="0.25">
      <c r="A127" s="9">
        <f>2024</f>
        <v>2024</v>
      </c>
      <c r="B127" s="4" t="s">
        <v>30</v>
      </c>
      <c r="C127" s="2">
        <v>0.66896199999999995</v>
      </c>
      <c r="D127" s="14">
        <v>15.985898000000001</v>
      </c>
    </row>
    <row r="128" spans="1:4" s="1" customFormat="1" ht="19.75" customHeight="1" x14ac:dyDescent="0.25">
      <c r="A128" s="9">
        <f>2024</f>
        <v>2024</v>
      </c>
      <c r="B128" s="4" t="s">
        <v>91</v>
      </c>
      <c r="C128" s="5">
        <v>208.74340000000001</v>
      </c>
      <c r="D128" s="13">
        <v>1909.3658</v>
      </c>
    </row>
    <row r="129" spans="1:4" s="1" customFormat="1" ht="19.75" customHeight="1" x14ac:dyDescent="0.25">
      <c r="A129" s="9">
        <f>2024</f>
        <v>2024</v>
      </c>
      <c r="B129" s="4" t="s">
        <v>103</v>
      </c>
      <c r="C129" s="2">
        <v>774.16970000000003</v>
      </c>
      <c r="D129" s="14">
        <v>145.7253</v>
      </c>
    </row>
    <row r="130" spans="1:4" s="1" customFormat="1" ht="19.75" customHeight="1" x14ac:dyDescent="0.25">
      <c r="A130" s="9">
        <f>2024</f>
        <v>2024</v>
      </c>
      <c r="B130" s="4" t="s">
        <v>27</v>
      </c>
      <c r="C130" s="5">
        <v>1872.1445209999999</v>
      </c>
      <c r="D130" s="13">
        <v>1013.447363</v>
      </c>
    </row>
    <row r="131" spans="1:4" s="1" customFormat="1" ht="19.75" customHeight="1" x14ac:dyDescent="0.25">
      <c r="A131" s="9">
        <f>2024</f>
        <v>2024</v>
      </c>
      <c r="B131" s="4" t="s">
        <v>26</v>
      </c>
      <c r="C131" s="2">
        <v>115.0074</v>
      </c>
      <c r="D131" s="14">
        <v>49.557403999999998</v>
      </c>
    </row>
    <row r="132" spans="1:4" s="1" customFormat="1" ht="19.75" customHeight="1" x14ac:dyDescent="0.25">
      <c r="A132" s="9">
        <f>2024</f>
        <v>2024</v>
      </c>
      <c r="B132" s="4" t="s">
        <v>25</v>
      </c>
      <c r="C132" s="5">
        <v>16.350033</v>
      </c>
      <c r="D132" s="13">
        <v>11.676259999999999</v>
      </c>
    </row>
    <row r="133" spans="1:4" s="1" customFormat="1" ht="19.75" customHeight="1" x14ac:dyDescent="0.25">
      <c r="A133" s="9">
        <f>2024</f>
        <v>2024</v>
      </c>
      <c r="B133" s="4" t="s">
        <v>128</v>
      </c>
      <c r="C133" s="2">
        <v>2.9761000000000002</v>
      </c>
      <c r="D133" s="14">
        <v>39.273800000000001</v>
      </c>
    </row>
    <row r="134" spans="1:4" s="1" customFormat="1" ht="19.75" customHeight="1" x14ac:dyDescent="0.25">
      <c r="A134" s="9">
        <f>2024</f>
        <v>2024</v>
      </c>
      <c r="B134" s="4" t="s">
        <v>24</v>
      </c>
      <c r="C134" s="5">
        <v>1.0236000000000001</v>
      </c>
      <c r="D134" s="13">
        <v>77.816699999999997</v>
      </c>
    </row>
    <row r="135" spans="1:4" s="1" customFormat="1" ht="19.75" customHeight="1" x14ac:dyDescent="0.25">
      <c r="A135" s="9">
        <f>2024</f>
        <v>2024</v>
      </c>
      <c r="B135" s="4" t="s">
        <v>23</v>
      </c>
      <c r="C135" s="2">
        <v>1290.3848</v>
      </c>
      <c r="D135" s="14">
        <v>584.80714899999998</v>
      </c>
    </row>
    <row r="136" spans="1:4" s="1" customFormat="1" ht="19.75" customHeight="1" x14ac:dyDescent="0.25">
      <c r="A136" s="9">
        <f>2024</f>
        <v>2024</v>
      </c>
      <c r="B136" s="4" t="s">
        <v>22</v>
      </c>
      <c r="C136" s="5">
        <v>1784.2496000000001</v>
      </c>
      <c r="D136" s="13">
        <v>652.52670000000001</v>
      </c>
    </row>
    <row r="137" spans="1:4" s="1" customFormat="1" ht="19.75" customHeight="1" x14ac:dyDescent="0.25">
      <c r="A137" s="9">
        <f>2024</f>
        <v>2024</v>
      </c>
      <c r="B137" s="4" t="s">
        <v>21</v>
      </c>
      <c r="C137" s="2">
        <v>4554.5720540000002</v>
      </c>
      <c r="D137" s="14">
        <v>4268.162687</v>
      </c>
    </row>
    <row r="138" spans="1:4" s="1" customFormat="1" ht="19.75" customHeight="1" x14ac:dyDescent="0.25">
      <c r="A138" s="9">
        <f>2024</f>
        <v>2024</v>
      </c>
      <c r="B138" s="4" t="s">
        <v>102</v>
      </c>
      <c r="C138" s="5">
        <v>2.4792000000000001</v>
      </c>
      <c r="D138" s="13">
        <v>51.778100000000002</v>
      </c>
    </row>
    <row r="139" spans="1:4" s="1" customFormat="1" ht="19.75" customHeight="1" x14ac:dyDescent="0.25">
      <c r="A139" s="9">
        <f>2024</f>
        <v>2024</v>
      </c>
      <c r="B139" s="4" t="s">
        <v>20</v>
      </c>
      <c r="C139" s="2">
        <v>611.91089399999998</v>
      </c>
      <c r="D139" s="14">
        <v>230.81947600000001</v>
      </c>
    </row>
    <row r="140" spans="1:4" s="1" customFormat="1" ht="19.75" customHeight="1" x14ac:dyDescent="0.25">
      <c r="A140" s="9">
        <f>2024</f>
        <v>2024</v>
      </c>
      <c r="B140" s="4" t="s">
        <v>101</v>
      </c>
      <c r="C140" s="5">
        <v>420.39949999999999</v>
      </c>
      <c r="D140" s="13">
        <v>104.4838</v>
      </c>
    </row>
    <row r="141" spans="1:4" s="1" customFormat="1" ht="19.75" customHeight="1" x14ac:dyDescent="0.25">
      <c r="A141" s="9">
        <f>2024</f>
        <v>2024</v>
      </c>
      <c r="B141" s="4" t="s">
        <v>19</v>
      </c>
      <c r="C141" s="2">
        <v>135.9967</v>
      </c>
      <c r="D141" s="14">
        <v>77.0261</v>
      </c>
    </row>
    <row r="142" spans="1:4" s="1" customFormat="1" ht="19.75" customHeight="1" x14ac:dyDescent="0.25">
      <c r="A142" s="9">
        <f>2024</f>
        <v>2024</v>
      </c>
      <c r="B142" s="4" t="s">
        <v>18</v>
      </c>
      <c r="C142" s="5">
        <v>5119.6922000000004</v>
      </c>
      <c r="D142" s="13">
        <v>3552.6249360000002</v>
      </c>
    </row>
    <row r="143" spans="1:4" s="1" customFormat="1" ht="19.75" customHeight="1" x14ac:dyDescent="0.25">
      <c r="A143" s="9">
        <f>2024</f>
        <v>2024</v>
      </c>
      <c r="B143" s="4" t="s">
        <v>17</v>
      </c>
      <c r="C143" s="2">
        <v>3998.1406999999999</v>
      </c>
      <c r="D143" s="14">
        <v>3213.2211000000002</v>
      </c>
    </row>
    <row r="144" spans="1:4" s="1" customFormat="1" ht="19.75" customHeight="1" x14ac:dyDescent="0.25">
      <c r="A144" s="9">
        <f>2024</f>
        <v>2024</v>
      </c>
      <c r="B144" s="4" t="s">
        <v>107</v>
      </c>
      <c r="C144" s="5">
        <v>42.471299999999999</v>
      </c>
      <c r="D144" s="13">
        <v>36.613500000000002</v>
      </c>
    </row>
    <row r="145" spans="1:4" s="1" customFormat="1" ht="19.75" customHeight="1" x14ac:dyDescent="0.25">
      <c r="A145" s="9">
        <f>2024</f>
        <v>2024</v>
      </c>
      <c r="B145" s="4" t="s">
        <v>120</v>
      </c>
      <c r="C145" s="2">
        <v>332.0729</v>
      </c>
      <c r="D145" s="14">
        <v>133.27590000000001</v>
      </c>
    </row>
    <row r="146" spans="1:4" s="1" customFormat="1" ht="19.75" customHeight="1" x14ac:dyDescent="0.25">
      <c r="A146" s="9">
        <f>2024</f>
        <v>2024</v>
      </c>
      <c r="B146" s="4" t="s">
        <v>110</v>
      </c>
      <c r="C146" s="5">
        <v>345.89030000000002</v>
      </c>
      <c r="D146" s="13">
        <v>91.308700000000002</v>
      </c>
    </row>
    <row r="147" spans="1:4" s="1" customFormat="1" ht="19.75" customHeight="1" x14ac:dyDescent="0.25">
      <c r="A147" s="9">
        <f>2024</f>
        <v>2024</v>
      </c>
      <c r="B147" s="4" t="s">
        <v>94</v>
      </c>
      <c r="C147" s="3"/>
      <c r="D147" s="14">
        <v>34.0687</v>
      </c>
    </row>
    <row r="148" spans="1:4" s="1" customFormat="1" ht="19.75" customHeight="1" x14ac:dyDescent="0.25">
      <c r="A148" s="9">
        <f>2024</f>
        <v>2024</v>
      </c>
      <c r="B148" s="4" t="s">
        <v>100</v>
      </c>
      <c r="C148" s="5">
        <v>223.5188</v>
      </c>
      <c r="D148" s="13">
        <v>51.236800000000002</v>
      </c>
    </row>
    <row r="149" spans="1:4" s="1" customFormat="1" ht="19.75" customHeight="1" x14ac:dyDescent="0.25">
      <c r="A149" s="9">
        <f>2024</f>
        <v>2024</v>
      </c>
      <c r="B149" s="4" t="s">
        <v>109</v>
      </c>
      <c r="C149" s="2">
        <v>11.371</v>
      </c>
      <c r="D149" s="14">
        <v>20.717700000000001</v>
      </c>
    </row>
    <row r="150" spans="1:4" s="1" customFormat="1" ht="19.75" customHeight="1" x14ac:dyDescent="0.25">
      <c r="A150" s="9">
        <f>2024</f>
        <v>2024</v>
      </c>
      <c r="B150" s="4" t="s">
        <v>13</v>
      </c>
      <c r="C150" s="5">
        <v>2469.0419000000002</v>
      </c>
      <c r="D150" s="13">
        <v>1005.235</v>
      </c>
    </row>
    <row r="151" spans="1:4" s="1" customFormat="1" ht="19.75" customHeight="1" x14ac:dyDescent="0.25">
      <c r="A151" s="9">
        <f>2024</f>
        <v>2024</v>
      </c>
      <c r="B151" s="4" t="s">
        <v>90</v>
      </c>
      <c r="C151" s="3"/>
      <c r="D151" s="14">
        <v>18.507000000000001</v>
      </c>
    </row>
    <row r="152" spans="1:4" s="1" customFormat="1" ht="19.75" customHeight="1" x14ac:dyDescent="0.25">
      <c r="A152" s="9">
        <f>2024</f>
        <v>2024</v>
      </c>
      <c r="B152" s="4" t="s">
        <v>108</v>
      </c>
      <c r="C152" s="5">
        <v>159.0453</v>
      </c>
      <c r="D152" s="13">
        <v>42.716900000000003</v>
      </c>
    </row>
    <row r="153" spans="1:4" s="1" customFormat="1" ht="19.75" customHeight="1" x14ac:dyDescent="0.25">
      <c r="A153" s="9">
        <f>2024</f>
        <v>2024</v>
      </c>
      <c r="B153" s="4" t="s">
        <v>127</v>
      </c>
      <c r="C153" s="2">
        <v>180.9059</v>
      </c>
      <c r="D153" s="14">
        <v>30.3627</v>
      </c>
    </row>
    <row r="154" spans="1:4" s="1" customFormat="1" ht="19.75" customHeight="1" x14ac:dyDescent="0.25">
      <c r="A154" s="9">
        <f>2024</f>
        <v>2024</v>
      </c>
      <c r="B154" s="4" t="s">
        <v>11</v>
      </c>
      <c r="C154" s="6"/>
      <c r="D154" s="13">
        <v>2.7202000000000002</v>
      </c>
    </row>
    <row r="155" spans="1:4" s="1" customFormat="1" ht="19.75" customHeight="1" x14ac:dyDescent="0.25">
      <c r="A155" s="9">
        <f>2024</f>
        <v>2024</v>
      </c>
      <c r="B155" s="4" t="s">
        <v>10</v>
      </c>
      <c r="C155" s="2">
        <v>5.2371999999999996</v>
      </c>
      <c r="D155" s="14">
        <v>44.848500000000001</v>
      </c>
    </row>
    <row r="156" spans="1:4" s="1" customFormat="1" ht="19.75" customHeight="1" x14ac:dyDescent="0.25">
      <c r="A156" s="9">
        <f>2024</f>
        <v>2024</v>
      </c>
      <c r="B156" s="4" t="s">
        <v>9</v>
      </c>
      <c r="C156" s="5">
        <v>1273.9482</v>
      </c>
      <c r="D156" s="13">
        <v>556.7029</v>
      </c>
    </row>
    <row r="157" spans="1:4" s="1" customFormat="1" ht="19.75" customHeight="1" x14ac:dyDescent="0.25">
      <c r="A157" s="9">
        <f>2024</f>
        <v>2024</v>
      </c>
      <c r="B157" s="4" t="s">
        <v>8</v>
      </c>
      <c r="C157" s="2">
        <v>1334.7463</v>
      </c>
      <c r="D157" s="14">
        <v>911.34649999999999</v>
      </c>
    </row>
    <row r="158" spans="1:4" s="1" customFormat="1" ht="19.75" customHeight="1" x14ac:dyDescent="0.25">
      <c r="A158" s="9">
        <f>2024</f>
        <v>2024</v>
      </c>
      <c r="B158" s="4" t="s">
        <v>135</v>
      </c>
      <c r="C158" s="5">
        <v>165.9717</v>
      </c>
      <c r="D158" s="13">
        <v>31.073599999999999</v>
      </c>
    </row>
    <row r="159" spans="1:4" s="1" customFormat="1" ht="19.75" customHeight="1" x14ac:dyDescent="0.25">
      <c r="A159" s="9">
        <f>2024</f>
        <v>2024</v>
      </c>
      <c r="B159" s="4" t="s">
        <v>136</v>
      </c>
      <c r="C159" s="2">
        <v>3.0999999999999999E-3</v>
      </c>
      <c r="D159" s="14">
        <v>18.873999999999999</v>
      </c>
    </row>
    <row r="160" spans="1:4" s="1" customFormat="1" ht="19.75" customHeight="1" x14ac:dyDescent="0.25">
      <c r="A160" s="9">
        <f>2024</f>
        <v>2024</v>
      </c>
      <c r="B160" s="4" t="s">
        <v>7</v>
      </c>
      <c r="C160" s="5">
        <v>3.4036960000000001</v>
      </c>
      <c r="D160" s="13">
        <v>20.693514</v>
      </c>
    </row>
    <row r="161" spans="1:4" s="1" customFormat="1" ht="19.75" customHeight="1" x14ac:dyDescent="0.25">
      <c r="A161" s="9">
        <f>2024</f>
        <v>2024</v>
      </c>
      <c r="B161" s="4" t="s">
        <v>119</v>
      </c>
      <c r="C161" s="2">
        <v>70.616399999999999</v>
      </c>
      <c r="D161" s="14">
        <v>40.194600000000001</v>
      </c>
    </row>
    <row r="162" spans="1:4" s="1" customFormat="1" ht="19.75" customHeight="1" x14ac:dyDescent="0.25">
      <c r="A162" s="9">
        <f>2024</f>
        <v>2024</v>
      </c>
      <c r="B162" s="4" t="s">
        <v>98</v>
      </c>
      <c r="C162" s="5">
        <v>0.67530400000000002</v>
      </c>
      <c r="D162" s="13">
        <v>110.852678</v>
      </c>
    </row>
    <row r="163" spans="1:4" s="1" customFormat="1" ht="19.75" customHeight="1" x14ac:dyDescent="0.25">
      <c r="A163" s="9">
        <f>2024</f>
        <v>2024</v>
      </c>
      <c r="B163" s="4" t="s">
        <v>6</v>
      </c>
      <c r="C163" s="2">
        <v>527.54499999999996</v>
      </c>
      <c r="D163" s="14">
        <v>428.77780000000001</v>
      </c>
    </row>
    <row r="164" spans="1:4" s="1" customFormat="1" ht="19.75" customHeight="1" x14ac:dyDescent="0.25">
      <c r="A164" s="9">
        <f>2024</f>
        <v>2024</v>
      </c>
      <c r="B164" s="4" t="s">
        <v>5</v>
      </c>
      <c r="C164" s="5">
        <v>636.5643</v>
      </c>
      <c r="D164" s="13">
        <v>189.8914</v>
      </c>
    </row>
    <row r="165" spans="1:4" s="1" customFormat="1" ht="19.75" customHeight="1" x14ac:dyDescent="0.25">
      <c r="A165" s="9">
        <f>2024</f>
        <v>2024</v>
      </c>
      <c r="B165" s="4" t="s">
        <v>4</v>
      </c>
      <c r="C165" s="2">
        <v>237.1713</v>
      </c>
      <c r="D165" s="14">
        <v>196.27780000000001</v>
      </c>
    </row>
    <row r="166" spans="1:4" s="1" customFormat="1" ht="19.75" customHeight="1" x14ac:dyDescent="0.25">
      <c r="A166" s="9">
        <f>2024</f>
        <v>2024</v>
      </c>
      <c r="B166" s="4" t="s">
        <v>3</v>
      </c>
      <c r="C166" s="5">
        <v>2.2978999999999998</v>
      </c>
      <c r="D166" s="13">
        <v>7.4032</v>
      </c>
    </row>
    <row r="167" spans="1:4" s="1" customFormat="1" ht="19.75" customHeight="1" x14ac:dyDescent="0.25">
      <c r="A167" s="9">
        <f>2024</f>
        <v>2024</v>
      </c>
      <c r="B167" s="4" t="s">
        <v>2</v>
      </c>
      <c r="C167" s="2">
        <v>7496.763567</v>
      </c>
      <c r="D167" s="14">
        <v>8421.4311230000003</v>
      </c>
    </row>
    <row r="168" spans="1:4" s="1" customFormat="1" ht="19.75" customHeight="1" x14ac:dyDescent="0.25">
      <c r="A168" s="9">
        <f>2024</f>
        <v>2024</v>
      </c>
      <c r="B168" s="4" t="s">
        <v>105</v>
      </c>
      <c r="C168" s="5">
        <v>1645.4167050000001</v>
      </c>
      <c r="D168" s="13">
        <v>482.69842799999998</v>
      </c>
    </row>
    <row r="169" spans="1:4" s="1" customFormat="1" ht="19.75" customHeight="1" x14ac:dyDescent="0.25">
      <c r="A169" s="9">
        <f>2024</f>
        <v>2024</v>
      </c>
      <c r="B169" s="4" t="s">
        <v>134</v>
      </c>
      <c r="C169" s="2">
        <v>8650.2333999999992</v>
      </c>
      <c r="D169" s="14">
        <v>5694.5291999999999</v>
      </c>
    </row>
    <row r="170" spans="1:4" s="1" customFormat="1" ht="19.75" customHeight="1" x14ac:dyDescent="0.25">
      <c r="A170" s="9">
        <f>2024</f>
        <v>2024</v>
      </c>
      <c r="B170" s="4" t="s">
        <v>95</v>
      </c>
      <c r="C170" s="5">
        <v>34.915300000000002</v>
      </c>
      <c r="D170" s="13">
        <v>34.256799999999998</v>
      </c>
    </row>
    <row r="171" spans="1:4" s="1" customFormat="1" ht="19.75" customHeight="1" x14ac:dyDescent="0.25">
      <c r="A171" s="9">
        <f>2024</f>
        <v>2024</v>
      </c>
      <c r="B171" s="4" t="s">
        <v>97</v>
      </c>
      <c r="C171" s="2">
        <v>237.15960000000001</v>
      </c>
      <c r="D171" s="14">
        <v>57.7179</v>
      </c>
    </row>
    <row r="172" spans="1:4" s="1" customFormat="1" ht="19.75" customHeight="1" x14ac:dyDescent="0.25">
      <c r="A172" s="9">
        <f>2024</f>
        <v>2024</v>
      </c>
      <c r="B172" s="4" t="s">
        <v>118</v>
      </c>
      <c r="C172" s="5">
        <v>5397.6293320000004</v>
      </c>
      <c r="D172" s="13">
        <v>4464.8035799999998</v>
      </c>
    </row>
    <row r="173" spans="1:4" s="1" customFormat="1" ht="19.75" customHeight="1" x14ac:dyDescent="0.25">
      <c r="A173" s="9">
        <f>2024</f>
        <v>2024</v>
      </c>
      <c r="B173" s="4" t="s">
        <v>114</v>
      </c>
      <c r="C173" s="2">
        <v>449.17739999999998</v>
      </c>
      <c r="D173" s="14">
        <v>258.3288</v>
      </c>
    </row>
    <row r="174" spans="1:4" s="1" customFormat="1" ht="19.75" customHeight="1" x14ac:dyDescent="0.25">
      <c r="A174" s="9">
        <f>2024</f>
        <v>2024</v>
      </c>
      <c r="B174" s="4" t="s">
        <v>113</v>
      </c>
      <c r="C174" s="5">
        <v>2406.6428000000001</v>
      </c>
      <c r="D174" s="13">
        <v>2501.0668000000001</v>
      </c>
    </row>
    <row r="175" spans="1:4" s="1" customFormat="1" ht="19.75" customHeight="1" x14ac:dyDescent="0.25">
      <c r="A175" s="9">
        <f>2024</f>
        <v>2024</v>
      </c>
      <c r="B175" s="4" t="s">
        <v>121</v>
      </c>
      <c r="C175" s="2">
        <v>1448.7344000000001</v>
      </c>
      <c r="D175" s="14">
        <v>1648.8295000000001</v>
      </c>
    </row>
    <row r="176" spans="1:4" s="1" customFormat="1" ht="19.75" customHeight="1" x14ac:dyDescent="0.25">
      <c r="A176" s="9">
        <f>2024</f>
        <v>2024</v>
      </c>
      <c r="B176" s="4" t="s">
        <v>126</v>
      </c>
      <c r="C176" s="5">
        <v>1023.4426</v>
      </c>
      <c r="D176" s="13">
        <v>1283.087407</v>
      </c>
    </row>
    <row r="177" spans="1:4" s="1" customFormat="1" ht="19.75" customHeight="1" x14ac:dyDescent="0.25">
      <c r="A177" s="9">
        <f>2024</f>
        <v>2024</v>
      </c>
      <c r="B177" s="4" t="s">
        <v>125</v>
      </c>
      <c r="C177" s="2">
        <v>1885.9047</v>
      </c>
      <c r="D177" s="14">
        <v>1604.8397</v>
      </c>
    </row>
    <row r="178" spans="1:4" s="1" customFormat="1" ht="19.75" customHeight="1" x14ac:dyDescent="0.25">
      <c r="A178" s="9">
        <f>2024</f>
        <v>2024</v>
      </c>
      <c r="B178" s="4" t="s">
        <v>124</v>
      </c>
      <c r="C178" s="5">
        <v>124.256147</v>
      </c>
      <c r="D178" s="13">
        <v>174.59385900000001</v>
      </c>
    </row>
    <row r="179" spans="1:4" s="1" customFormat="1" ht="19.75" customHeight="1" x14ac:dyDescent="0.25">
      <c r="A179" s="9">
        <f>2024</f>
        <v>2024</v>
      </c>
      <c r="B179" s="4" t="s">
        <v>132</v>
      </c>
      <c r="C179" s="2">
        <v>144.65860000000001</v>
      </c>
      <c r="D179" s="14">
        <v>146.16409999999999</v>
      </c>
    </row>
    <row r="180" spans="1:4" s="1" customFormat="1" ht="19.75" customHeight="1" x14ac:dyDescent="0.25">
      <c r="A180" s="9">
        <f>2024</f>
        <v>2024</v>
      </c>
      <c r="B180" s="4" t="s">
        <v>117</v>
      </c>
      <c r="C180" s="5">
        <v>626.46874100000002</v>
      </c>
      <c r="D180" s="13">
        <v>727.95104400000002</v>
      </c>
    </row>
    <row r="181" spans="1:4" s="1" customFormat="1" ht="19.75" customHeight="1" x14ac:dyDescent="0.25">
      <c r="A181" s="9">
        <f>2024</f>
        <v>2024</v>
      </c>
      <c r="B181" s="4" t="s">
        <v>116</v>
      </c>
      <c r="C181" s="2">
        <v>2267.7039439999999</v>
      </c>
      <c r="D181" s="14">
        <v>2279.0990579999998</v>
      </c>
    </row>
    <row r="182" spans="1:4" s="1" customFormat="1" ht="19.75" customHeight="1" x14ac:dyDescent="0.25">
      <c r="A182" s="9">
        <f>2024</f>
        <v>2024</v>
      </c>
      <c r="B182" s="4" t="s">
        <v>133</v>
      </c>
      <c r="C182" s="5">
        <v>406.86099999999999</v>
      </c>
      <c r="D182" s="13">
        <v>808.37339999999995</v>
      </c>
    </row>
    <row r="183" spans="1:4" s="1" customFormat="1" ht="19.75" customHeight="1" x14ac:dyDescent="0.25">
      <c r="A183" s="9">
        <f>2024</f>
        <v>2024</v>
      </c>
      <c r="B183" s="4" t="s">
        <v>115</v>
      </c>
      <c r="C183" s="2">
        <v>1292.6089999999999</v>
      </c>
      <c r="D183" s="14">
        <v>1288.8784000000001</v>
      </c>
    </row>
    <row r="184" spans="1:4" s="1" customFormat="1" ht="19.75" customHeight="1" x14ac:dyDescent="0.25">
      <c r="A184" s="9">
        <f>2024</f>
        <v>2024</v>
      </c>
      <c r="B184" s="4" t="s">
        <v>131</v>
      </c>
      <c r="C184" s="5">
        <v>43.909157</v>
      </c>
      <c r="D184" s="13">
        <v>1744.81321</v>
      </c>
    </row>
    <row r="185" spans="1:4" s="1" customFormat="1" ht="19.75" customHeight="1" x14ac:dyDescent="0.25">
      <c r="A185" s="9">
        <f>2024</f>
        <v>2024</v>
      </c>
      <c r="B185" s="4" t="s">
        <v>129</v>
      </c>
      <c r="C185" s="2">
        <v>78.900599999999997</v>
      </c>
      <c r="D185" s="14">
        <v>1312.6196</v>
      </c>
    </row>
    <row r="186" spans="1:4" s="1" customFormat="1" ht="19.75" customHeight="1" x14ac:dyDescent="0.25">
      <c r="A186" s="9">
        <f>2024</f>
        <v>2024</v>
      </c>
      <c r="B186" s="4" t="s">
        <v>123</v>
      </c>
      <c r="C186" s="5">
        <v>169.73599999999999</v>
      </c>
      <c r="D186" s="13">
        <v>1003.6823000000001</v>
      </c>
    </row>
    <row r="187" spans="1:4" s="1" customFormat="1" ht="19.75" customHeight="1" x14ac:dyDescent="0.25">
      <c r="A187" s="9">
        <f>2024</f>
        <v>2024</v>
      </c>
      <c r="B187" s="4" t="s">
        <v>130</v>
      </c>
      <c r="C187" s="2">
        <v>60.661099999999998</v>
      </c>
      <c r="D187" s="14">
        <v>2572.8175000000001</v>
      </c>
    </row>
    <row r="188" spans="1:4" s="1" customFormat="1" ht="19.75" customHeight="1" x14ac:dyDescent="0.25">
      <c r="A188" s="9">
        <f>2023</f>
        <v>2023</v>
      </c>
      <c r="B188" s="4" t="s">
        <v>77</v>
      </c>
      <c r="C188" s="5">
        <v>48232.532299999999</v>
      </c>
      <c r="D188" s="13">
        <v>24518.312399999999</v>
      </c>
    </row>
    <row r="189" spans="1:4" s="1" customFormat="1" ht="19.75" customHeight="1" x14ac:dyDescent="0.25">
      <c r="A189" s="9">
        <f>2023</f>
        <v>2023</v>
      </c>
      <c r="B189" s="4" t="s">
        <v>76</v>
      </c>
      <c r="C189" s="2">
        <v>27372.819500000001</v>
      </c>
      <c r="D189" s="14">
        <v>13982.172399999999</v>
      </c>
    </row>
    <row r="190" spans="1:4" s="1" customFormat="1" ht="19.75" customHeight="1" x14ac:dyDescent="0.25">
      <c r="A190" s="9">
        <f>2023</f>
        <v>2023</v>
      </c>
      <c r="B190" s="4" t="s">
        <v>75</v>
      </c>
      <c r="C190" s="5">
        <v>8157.6809000000003</v>
      </c>
      <c r="D190" s="13">
        <v>3921.8355999999999</v>
      </c>
    </row>
    <row r="191" spans="1:4" s="1" customFormat="1" ht="19.75" customHeight="1" x14ac:dyDescent="0.25">
      <c r="A191" s="9">
        <f>2023</f>
        <v>2023</v>
      </c>
      <c r="B191" s="4" t="s">
        <v>74</v>
      </c>
      <c r="C191" s="2">
        <v>52989.487000000001</v>
      </c>
      <c r="D191" s="14">
        <v>22481.479899999998</v>
      </c>
    </row>
    <row r="192" spans="1:4" s="1" customFormat="1" ht="19.75" customHeight="1" x14ac:dyDescent="0.25">
      <c r="A192" s="9">
        <f>2023</f>
        <v>2023</v>
      </c>
      <c r="B192" s="4" t="s">
        <v>73</v>
      </c>
      <c r="C192" s="5">
        <v>13855.097599999999</v>
      </c>
      <c r="D192" s="13">
        <v>8886.7355000000007</v>
      </c>
    </row>
    <row r="193" spans="1:4" s="1" customFormat="1" ht="19.75" customHeight="1" x14ac:dyDescent="0.25">
      <c r="A193" s="9">
        <f>2023</f>
        <v>2023</v>
      </c>
      <c r="B193" s="4" t="s">
        <v>69</v>
      </c>
      <c r="C193" s="2">
        <v>24716.750400000001</v>
      </c>
      <c r="D193" s="14">
        <v>12097.9028</v>
      </c>
    </row>
    <row r="194" spans="1:4" s="1" customFormat="1" ht="19.75" customHeight="1" x14ac:dyDescent="0.25">
      <c r="A194" s="9">
        <f>2023</f>
        <v>2023</v>
      </c>
      <c r="B194" s="4" t="s">
        <v>68</v>
      </c>
      <c r="C194" s="5">
        <v>11145.4445</v>
      </c>
      <c r="D194" s="13">
        <v>6421.4631829999998</v>
      </c>
    </row>
    <row r="195" spans="1:4" s="1" customFormat="1" ht="19.75" customHeight="1" x14ac:dyDescent="0.25">
      <c r="A195" s="9">
        <f>2023</f>
        <v>2023</v>
      </c>
      <c r="B195" s="4" t="s">
        <v>66</v>
      </c>
      <c r="C195" s="2">
        <v>5019.3509999999997</v>
      </c>
      <c r="D195" s="14">
        <v>2463.4018999999998</v>
      </c>
    </row>
    <row r="196" spans="1:4" s="1" customFormat="1" ht="19.75" customHeight="1" x14ac:dyDescent="0.25">
      <c r="A196" s="9">
        <f>2023</f>
        <v>2023</v>
      </c>
      <c r="B196" s="4" t="s">
        <v>65</v>
      </c>
      <c r="C196" s="5">
        <v>50652.474699999999</v>
      </c>
      <c r="D196" s="13">
        <v>24105.408500000001</v>
      </c>
    </row>
    <row r="197" spans="1:4" s="1" customFormat="1" ht="19.75" customHeight="1" x14ac:dyDescent="0.25">
      <c r="A197" s="9">
        <f>2023</f>
        <v>2023</v>
      </c>
      <c r="B197" s="4" t="s">
        <v>85</v>
      </c>
      <c r="C197" s="2">
        <v>187262.55559999999</v>
      </c>
      <c r="D197" s="14">
        <v>97743.136100000003</v>
      </c>
    </row>
    <row r="198" spans="1:4" s="1" customFormat="1" ht="19.75" customHeight="1" x14ac:dyDescent="0.25">
      <c r="A198" s="9">
        <f>2023</f>
        <v>2023</v>
      </c>
      <c r="B198" s="4" t="s">
        <v>63</v>
      </c>
      <c r="C198" s="5">
        <v>10307.3933</v>
      </c>
      <c r="D198" s="13">
        <v>5510.915</v>
      </c>
    </row>
    <row r="199" spans="1:4" s="1" customFormat="1" ht="19.75" customHeight="1" x14ac:dyDescent="0.25">
      <c r="A199" s="9">
        <f>2023</f>
        <v>2023</v>
      </c>
      <c r="B199" s="4" t="s">
        <v>62</v>
      </c>
      <c r="C199" s="2">
        <v>47977.995699999999</v>
      </c>
      <c r="D199" s="14">
        <v>21931.331900000001</v>
      </c>
    </row>
    <row r="200" spans="1:4" s="1" customFormat="1" ht="19.75" customHeight="1" x14ac:dyDescent="0.25">
      <c r="A200" s="9">
        <f>2023</f>
        <v>2023</v>
      </c>
      <c r="B200" s="4" t="s">
        <v>59</v>
      </c>
      <c r="C200" s="5">
        <v>42218.021200000003</v>
      </c>
      <c r="D200" s="13">
        <v>39298.537700000001</v>
      </c>
    </row>
    <row r="201" spans="1:4" s="1" customFormat="1" ht="19.75" customHeight="1" x14ac:dyDescent="0.25">
      <c r="A201" s="9">
        <f>2023</f>
        <v>2023</v>
      </c>
      <c r="B201" s="4" t="s">
        <v>112</v>
      </c>
      <c r="C201" s="2">
        <v>6645.0814</v>
      </c>
      <c r="D201" s="14">
        <v>4636.8194000000003</v>
      </c>
    </row>
    <row r="202" spans="1:4" s="1" customFormat="1" ht="19.75" customHeight="1" x14ac:dyDescent="0.25">
      <c r="A202" s="9">
        <f>2023</f>
        <v>2023</v>
      </c>
      <c r="B202" s="4" t="s">
        <v>54</v>
      </c>
      <c r="C202" s="5">
        <v>2551.5407</v>
      </c>
      <c r="D202" s="13">
        <v>1155.1762000000001</v>
      </c>
    </row>
    <row r="203" spans="1:4" s="1" customFormat="1" ht="19.75" customHeight="1" x14ac:dyDescent="0.25">
      <c r="A203" s="9">
        <f>2023</f>
        <v>2023</v>
      </c>
      <c r="B203" s="4" t="s">
        <v>53</v>
      </c>
      <c r="C203" s="2">
        <v>985.80650000000003</v>
      </c>
      <c r="D203" s="14">
        <v>942.12810000000002</v>
      </c>
    </row>
    <row r="204" spans="1:4" s="1" customFormat="1" ht="19.75" customHeight="1" x14ac:dyDescent="0.25">
      <c r="A204" s="9">
        <f>2023</f>
        <v>2023</v>
      </c>
      <c r="B204" s="4" t="s">
        <v>52</v>
      </c>
      <c r="C204" s="5">
        <v>2483.2658000000001</v>
      </c>
      <c r="D204" s="13">
        <v>1339.6619000000001</v>
      </c>
    </row>
    <row r="205" spans="1:4" s="1" customFormat="1" ht="19.75" customHeight="1" x14ac:dyDescent="0.25">
      <c r="A205" s="9">
        <f>2023</f>
        <v>2023</v>
      </c>
      <c r="B205" s="4" t="s">
        <v>51</v>
      </c>
      <c r="C205" s="2">
        <v>595.48379999999997</v>
      </c>
      <c r="D205" s="14">
        <v>427.06659999999999</v>
      </c>
    </row>
    <row r="206" spans="1:4" s="1" customFormat="1" ht="19.75" customHeight="1" x14ac:dyDescent="0.25">
      <c r="A206" s="9">
        <f>2023</f>
        <v>2023</v>
      </c>
      <c r="B206" s="4" t="s">
        <v>50</v>
      </c>
      <c r="C206" s="5">
        <v>9571.4735999999994</v>
      </c>
      <c r="D206" s="13">
        <v>4767.7655000000004</v>
      </c>
    </row>
    <row r="207" spans="1:4" s="1" customFormat="1" ht="19.75" customHeight="1" x14ac:dyDescent="0.25">
      <c r="A207" s="9">
        <f>2023</f>
        <v>2023</v>
      </c>
      <c r="B207" s="4" t="s">
        <v>48</v>
      </c>
      <c r="C207" s="2">
        <v>74743.317299999995</v>
      </c>
      <c r="D207" s="14">
        <v>47652.0844</v>
      </c>
    </row>
    <row r="208" spans="1:4" s="1" customFormat="1" ht="19.75" customHeight="1" x14ac:dyDescent="0.25">
      <c r="A208" s="9">
        <f>2023</f>
        <v>2023</v>
      </c>
      <c r="B208" s="4" t="s">
        <v>47</v>
      </c>
      <c r="C208" s="5">
        <v>47102.735999999997</v>
      </c>
      <c r="D208" s="13">
        <v>32873.239099999999</v>
      </c>
    </row>
    <row r="209" spans="1:4" s="1" customFormat="1" ht="19.75" customHeight="1" x14ac:dyDescent="0.25">
      <c r="A209" s="9">
        <f>2023</f>
        <v>2023</v>
      </c>
      <c r="B209" s="4" t="s">
        <v>92</v>
      </c>
      <c r="C209" s="2">
        <v>9139.2315999999992</v>
      </c>
      <c r="D209" s="14">
        <v>7066.7</v>
      </c>
    </row>
    <row r="210" spans="1:4" s="1" customFormat="1" ht="19.75" customHeight="1" x14ac:dyDescent="0.25">
      <c r="A210" s="9">
        <f>2023</f>
        <v>2023</v>
      </c>
      <c r="B210" s="4" t="s">
        <v>122</v>
      </c>
      <c r="C210" s="5">
        <v>10092.208780000001</v>
      </c>
      <c r="D210" s="13">
        <v>12170.349969999999</v>
      </c>
    </row>
    <row r="211" spans="1:4" s="1" customFormat="1" ht="19.75" customHeight="1" x14ac:dyDescent="0.25">
      <c r="A211" s="9">
        <f>2023</f>
        <v>2023</v>
      </c>
      <c r="B211" s="4" t="s">
        <v>46</v>
      </c>
      <c r="C211" s="2">
        <v>18775.796699999999</v>
      </c>
      <c r="D211" s="14">
        <v>11412.007</v>
      </c>
    </row>
    <row r="212" spans="1:4" s="1" customFormat="1" ht="19.75" customHeight="1" x14ac:dyDescent="0.25">
      <c r="A212" s="9">
        <f>2023</f>
        <v>2023</v>
      </c>
      <c r="B212" s="4" t="s">
        <v>44</v>
      </c>
      <c r="C212" s="5">
        <v>4609.8253000000004</v>
      </c>
      <c r="D212" s="13">
        <v>3643.6014</v>
      </c>
    </row>
    <row r="213" spans="1:4" s="1" customFormat="1" ht="19.75" customHeight="1" x14ac:dyDescent="0.25">
      <c r="A213" s="9">
        <f>2023</f>
        <v>2023</v>
      </c>
      <c r="B213" s="4" t="s">
        <v>43</v>
      </c>
      <c r="C213" s="2">
        <v>4035.1273999999999</v>
      </c>
      <c r="D213" s="14">
        <v>1969.4539</v>
      </c>
    </row>
    <row r="214" spans="1:4" s="1" customFormat="1" ht="19.75" customHeight="1" x14ac:dyDescent="0.25">
      <c r="A214" s="9">
        <f>2023</f>
        <v>2023</v>
      </c>
      <c r="B214" s="4" t="s">
        <v>42</v>
      </c>
      <c r="C214" s="5">
        <v>3167.7382720000001</v>
      </c>
      <c r="D214" s="13">
        <v>2031.962906</v>
      </c>
    </row>
    <row r="215" spans="1:4" s="1" customFormat="1" ht="19.75" customHeight="1" x14ac:dyDescent="0.25">
      <c r="A215" s="9">
        <f>2023</f>
        <v>2023</v>
      </c>
      <c r="B215" s="4" t="s">
        <v>41</v>
      </c>
      <c r="C215" s="2">
        <v>12698.935600000001</v>
      </c>
      <c r="D215" s="14">
        <v>13786.993700000001</v>
      </c>
    </row>
    <row r="216" spans="1:4" s="1" customFormat="1" ht="19.75" customHeight="1" x14ac:dyDescent="0.25">
      <c r="A216" s="9">
        <f>2023</f>
        <v>2023</v>
      </c>
      <c r="B216" s="4" t="s">
        <v>38</v>
      </c>
      <c r="C216" s="5">
        <v>308.71952900000002</v>
      </c>
      <c r="D216" s="13">
        <v>216.90345400000001</v>
      </c>
    </row>
    <row r="217" spans="1:4" s="1" customFormat="1" ht="19.75" customHeight="1" x14ac:dyDescent="0.25">
      <c r="A217" s="9">
        <f>2023</f>
        <v>2023</v>
      </c>
      <c r="B217" s="4" t="s">
        <v>37</v>
      </c>
      <c r="C217" s="2">
        <v>4678.3890000000001</v>
      </c>
      <c r="D217" s="14">
        <v>5285.1706000000004</v>
      </c>
    </row>
    <row r="218" spans="1:4" s="1" customFormat="1" ht="19.75" customHeight="1" x14ac:dyDescent="0.25">
      <c r="A218" s="9">
        <f>2023</f>
        <v>2023</v>
      </c>
      <c r="B218" s="4" t="s">
        <v>34</v>
      </c>
      <c r="C218" s="5">
        <v>4221.0962</v>
      </c>
      <c r="D218" s="13">
        <v>2317.384</v>
      </c>
    </row>
    <row r="219" spans="1:4" s="1" customFormat="1" ht="19.75" customHeight="1" x14ac:dyDescent="0.25">
      <c r="A219" s="9">
        <f>2023</f>
        <v>2023</v>
      </c>
      <c r="B219" s="4" t="s">
        <v>33</v>
      </c>
      <c r="C219" s="2">
        <v>1986.9159090000001</v>
      </c>
      <c r="D219" s="14">
        <v>1150.3943489999999</v>
      </c>
    </row>
    <row r="220" spans="1:4" s="1" customFormat="1" ht="19.75" customHeight="1" x14ac:dyDescent="0.25">
      <c r="A220" s="9">
        <f>2023</f>
        <v>2023</v>
      </c>
      <c r="B220" s="4" t="s">
        <v>31</v>
      </c>
      <c r="C220" s="5">
        <v>14779.858700000001</v>
      </c>
      <c r="D220" s="13">
        <v>8419.8646000000008</v>
      </c>
    </row>
    <row r="221" spans="1:4" s="1" customFormat="1" ht="19.75" customHeight="1" x14ac:dyDescent="0.25">
      <c r="A221" s="9">
        <f>2023</f>
        <v>2023</v>
      </c>
      <c r="B221" s="4" t="s">
        <v>30</v>
      </c>
      <c r="C221" s="2">
        <v>0.64605000000000001</v>
      </c>
      <c r="D221" s="14">
        <v>16.421161999999999</v>
      </c>
    </row>
    <row r="222" spans="1:4" s="1" customFormat="1" ht="19.75" customHeight="1" x14ac:dyDescent="0.25">
      <c r="A222" s="9">
        <f>2023</f>
        <v>2023</v>
      </c>
      <c r="B222" s="4" t="s">
        <v>91</v>
      </c>
      <c r="C222" s="5">
        <v>130.43879999999999</v>
      </c>
      <c r="D222" s="13">
        <v>1617.1872000000001</v>
      </c>
    </row>
    <row r="223" spans="1:4" s="1" customFormat="1" ht="19.75" customHeight="1" x14ac:dyDescent="0.25">
      <c r="A223" s="9">
        <f>2023</f>
        <v>2023</v>
      </c>
      <c r="B223" s="4" t="s">
        <v>103</v>
      </c>
      <c r="C223" s="2">
        <v>278.43029999999999</v>
      </c>
      <c r="D223" s="14">
        <v>141.06659999999999</v>
      </c>
    </row>
    <row r="224" spans="1:4" s="1" customFormat="1" ht="19.75" customHeight="1" x14ac:dyDescent="0.25">
      <c r="A224" s="9">
        <f>2023</f>
        <v>2023</v>
      </c>
      <c r="B224" s="4" t="s">
        <v>27</v>
      </c>
      <c r="C224" s="5">
        <v>881.96755199999996</v>
      </c>
      <c r="D224" s="13">
        <v>979.01135599999998</v>
      </c>
    </row>
    <row r="225" spans="1:4" s="1" customFormat="1" ht="19.75" customHeight="1" x14ac:dyDescent="0.25">
      <c r="A225" s="9">
        <f>2023</f>
        <v>2023</v>
      </c>
      <c r="B225" s="4" t="s">
        <v>26</v>
      </c>
      <c r="C225" s="2">
        <v>93.254199999999997</v>
      </c>
      <c r="D225" s="14">
        <v>43.639800000000001</v>
      </c>
    </row>
    <row r="226" spans="1:4" s="1" customFormat="1" ht="19.75" customHeight="1" x14ac:dyDescent="0.25">
      <c r="A226" s="9">
        <f>2023</f>
        <v>2023</v>
      </c>
      <c r="B226" s="4" t="s">
        <v>25</v>
      </c>
      <c r="C226" s="5">
        <v>13.769499</v>
      </c>
      <c r="D226" s="13">
        <v>11.055171</v>
      </c>
    </row>
    <row r="227" spans="1:4" s="1" customFormat="1" ht="19.75" customHeight="1" x14ac:dyDescent="0.25">
      <c r="A227" s="9">
        <f>2023</f>
        <v>2023</v>
      </c>
      <c r="B227" s="4" t="s">
        <v>128</v>
      </c>
      <c r="C227" s="2">
        <v>1.9442999999999999</v>
      </c>
      <c r="D227" s="14">
        <v>34.190100000000001</v>
      </c>
    </row>
    <row r="228" spans="1:4" s="1" customFormat="1" ht="19.75" customHeight="1" x14ac:dyDescent="0.25">
      <c r="A228" s="9">
        <f>2023</f>
        <v>2023</v>
      </c>
      <c r="B228" s="4" t="s">
        <v>24</v>
      </c>
      <c r="C228" s="5">
        <v>45.458300000000001</v>
      </c>
      <c r="D228" s="13">
        <v>124.26430000000001</v>
      </c>
    </row>
    <row r="229" spans="1:4" s="1" customFormat="1" ht="19.75" customHeight="1" x14ac:dyDescent="0.25">
      <c r="A229" s="9">
        <f>2023</f>
        <v>2023</v>
      </c>
      <c r="B229" s="4" t="s">
        <v>23</v>
      </c>
      <c r="C229" s="2">
        <v>826.37800000000004</v>
      </c>
      <c r="D229" s="14">
        <v>594.73559999999998</v>
      </c>
    </row>
    <row r="230" spans="1:4" s="1" customFormat="1" ht="19.75" customHeight="1" x14ac:dyDescent="0.25">
      <c r="A230" s="9">
        <f>2023</f>
        <v>2023</v>
      </c>
      <c r="B230" s="4" t="s">
        <v>22</v>
      </c>
      <c r="C230" s="5">
        <v>1416.1134999999999</v>
      </c>
      <c r="D230" s="13">
        <v>633.49800000000005</v>
      </c>
    </row>
    <row r="231" spans="1:4" s="1" customFormat="1" ht="19.75" customHeight="1" x14ac:dyDescent="0.25">
      <c r="A231" s="9">
        <f>2023</f>
        <v>2023</v>
      </c>
      <c r="B231" s="4" t="s">
        <v>21</v>
      </c>
      <c r="C231" s="2">
        <v>3401.482931</v>
      </c>
      <c r="D231" s="14">
        <v>5336.3975</v>
      </c>
    </row>
    <row r="232" spans="1:4" s="1" customFormat="1" ht="19.75" customHeight="1" x14ac:dyDescent="0.25">
      <c r="A232" s="9">
        <f>2023</f>
        <v>2023</v>
      </c>
      <c r="B232" s="4" t="s">
        <v>102</v>
      </c>
      <c r="C232" s="5">
        <v>36.275100000000002</v>
      </c>
      <c r="D232" s="13">
        <v>78.644900000000007</v>
      </c>
    </row>
    <row r="233" spans="1:4" s="1" customFormat="1" ht="19.75" customHeight="1" x14ac:dyDescent="0.25">
      <c r="A233" s="9">
        <f>2023</f>
        <v>2023</v>
      </c>
      <c r="B233" s="4" t="s">
        <v>20</v>
      </c>
      <c r="C233" s="2">
        <v>385.375451</v>
      </c>
      <c r="D233" s="14">
        <v>192.33340699999999</v>
      </c>
    </row>
    <row r="234" spans="1:4" s="1" customFormat="1" ht="19.75" customHeight="1" x14ac:dyDescent="0.25">
      <c r="A234" s="9">
        <f>2023</f>
        <v>2023</v>
      </c>
      <c r="B234" s="4" t="s">
        <v>101</v>
      </c>
      <c r="C234" s="5">
        <v>760.58730000000003</v>
      </c>
      <c r="D234" s="13">
        <v>88.446399999999997</v>
      </c>
    </row>
    <row r="235" spans="1:4" s="1" customFormat="1" ht="19.75" customHeight="1" x14ac:dyDescent="0.25">
      <c r="A235" s="9">
        <f>2023</f>
        <v>2023</v>
      </c>
      <c r="B235" s="4" t="s">
        <v>19</v>
      </c>
      <c r="C235" s="2">
        <v>93.65</v>
      </c>
      <c r="D235" s="14">
        <v>62.4542</v>
      </c>
    </row>
    <row r="236" spans="1:4" s="1" customFormat="1" ht="19.75" customHeight="1" x14ac:dyDescent="0.25">
      <c r="A236" s="9">
        <f>2023</f>
        <v>2023</v>
      </c>
      <c r="B236" s="4" t="s">
        <v>18</v>
      </c>
      <c r="C236" s="5">
        <v>3353.4481000000001</v>
      </c>
      <c r="D236" s="13">
        <v>2966.8751000000002</v>
      </c>
    </row>
    <row r="237" spans="1:4" s="1" customFormat="1" ht="19.75" customHeight="1" x14ac:dyDescent="0.25">
      <c r="A237" s="9">
        <f>2023</f>
        <v>2023</v>
      </c>
      <c r="B237" s="4" t="s">
        <v>17</v>
      </c>
      <c r="C237" s="2">
        <v>3416.6873999999998</v>
      </c>
      <c r="D237" s="14">
        <v>2820.9893999999999</v>
      </c>
    </row>
    <row r="238" spans="1:4" s="1" customFormat="1" ht="19.75" customHeight="1" x14ac:dyDescent="0.25">
      <c r="A238" s="9">
        <f>2023</f>
        <v>2023</v>
      </c>
      <c r="B238" s="4" t="s">
        <v>107</v>
      </c>
      <c r="C238" s="5">
        <v>29.253599999999999</v>
      </c>
      <c r="D238" s="13">
        <v>41.499699999999997</v>
      </c>
    </row>
    <row r="239" spans="1:4" s="1" customFormat="1" ht="19.75" customHeight="1" x14ac:dyDescent="0.25">
      <c r="A239" s="9">
        <f>2023</f>
        <v>2023</v>
      </c>
      <c r="B239" s="4" t="s">
        <v>120</v>
      </c>
      <c r="C239" s="2">
        <v>137.41999999999999</v>
      </c>
      <c r="D239" s="14">
        <v>105.7157</v>
      </c>
    </row>
    <row r="240" spans="1:4" s="1" customFormat="1" ht="19.75" customHeight="1" x14ac:dyDescent="0.25">
      <c r="A240" s="9">
        <f>2023</f>
        <v>2023</v>
      </c>
      <c r="B240" s="4" t="s">
        <v>110</v>
      </c>
      <c r="C240" s="5">
        <v>303.79599999999999</v>
      </c>
      <c r="D240" s="13">
        <v>88.171700000000001</v>
      </c>
    </row>
    <row r="241" spans="1:4" s="1" customFormat="1" ht="19.75" customHeight="1" x14ac:dyDescent="0.25">
      <c r="A241" s="9">
        <f>2023</f>
        <v>2023</v>
      </c>
      <c r="B241" s="4" t="s">
        <v>94</v>
      </c>
      <c r="C241" s="2">
        <v>1E-4</v>
      </c>
      <c r="D241" s="14">
        <v>25.945699999999999</v>
      </c>
    </row>
    <row r="242" spans="1:4" s="1" customFormat="1" ht="19.75" customHeight="1" x14ac:dyDescent="0.25">
      <c r="A242" s="9">
        <f>2023</f>
        <v>2023</v>
      </c>
      <c r="B242" s="4" t="s">
        <v>100</v>
      </c>
      <c r="C242" s="5">
        <v>147.2799</v>
      </c>
      <c r="D242" s="13">
        <v>55.661099999999998</v>
      </c>
    </row>
    <row r="243" spans="1:4" s="1" customFormat="1" ht="19.75" customHeight="1" x14ac:dyDescent="0.25">
      <c r="A243" s="9">
        <f>2023</f>
        <v>2023</v>
      </c>
      <c r="B243" s="4" t="s">
        <v>109</v>
      </c>
      <c r="C243" s="2">
        <v>5.4002999999999997</v>
      </c>
      <c r="D243" s="14">
        <v>18.2804</v>
      </c>
    </row>
    <row r="244" spans="1:4" s="1" customFormat="1" ht="19.75" customHeight="1" x14ac:dyDescent="0.25">
      <c r="A244" s="9">
        <f>2023</f>
        <v>2023</v>
      </c>
      <c r="B244" s="4" t="s">
        <v>13</v>
      </c>
      <c r="C244" s="5">
        <v>1290.3014000000001</v>
      </c>
      <c r="D244" s="13">
        <v>831.2722</v>
      </c>
    </row>
    <row r="245" spans="1:4" s="1" customFormat="1" ht="19.75" customHeight="1" x14ac:dyDescent="0.25">
      <c r="A245" s="9">
        <f>2023</f>
        <v>2023</v>
      </c>
      <c r="B245" s="4" t="s">
        <v>90</v>
      </c>
      <c r="C245" s="3"/>
      <c r="D245" s="14">
        <v>10.1805</v>
      </c>
    </row>
    <row r="246" spans="1:4" s="1" customFormat="1" ht="19.75" customHeight="1" x14ac:dyDescent="0.25">
      <c r="A246" s="9">
        <f>2023</f>
        <v>2023</v>
      </c>
      <c r="B246" s="4" t="s">
        <v>108</v>
      </c>
      <c r="C246" s="5">
        <v>78.409099999999995</v>
      </c>
      <c r="D246" s="13">
        <v>38.769300000000001</v>
      </c>
    </row>
    <row r="247" spans="1:4" s="1" customFormat="1" ht="19.75" customHeight="1" x14ac:dyDescent="0.25">
      <c r="A247" s="9">
        <f>2023</f>
        <v>2023</v>
      </c>
      <c r="B247" s="4" t="s">
        <v>127</v>
      </c>
      <c r="C247" s="2">
        <v>104.2285</v>
      </c>
      <c r="D247" s="14">
        <v>27.5779</v>
      </c>
    </row>
    <row r="248" spans="1:4" s="1" customFormat="1" ht="19.75" customHeight="1" x14ac:dyDescent="0.25">
      <c r="A248" s="9">
        <f>2023</f>
        <v>2023</v>
      </c>
      <c r="B248" s="4" t="s">
        <v>11</v>
      </c>
      <c r="C248" s="12"/>
      <c r="D248" s="13">
        <v>3.9643999999999999</v>
      </c>
    </row>
    <row r="249" spans="1:4" s="1" customFormat="1" ht="19.75" customHeight="1" x14ac:dyDescent="0.25">
      <c r="A249" s="9">
        <f>2023</f>
        <v>2023</v>
      </c>
      <c r="B249" s="4" t="s">
        <v>10</v>
      </c>
      <c r="C249" s="2">
        <v>2.4392999999999998</v>
      </c>
      <c r="D249" s="14">
        <v>33.806699999999999</v>
      </c>
    </row>
    <row r="250" spans="1:4" s="1" customFormat="1" ht="19.75" customHeight="1" x14ac:dyDescent="0.25">
      <c r="A250" s="9">
        <f>2023</f>
        <v>2023</v>
      </c>
      <c r="B250" s="4" t="s">
        <v>9</v>
      </c>
      <c r="C250" s="5">
        <v>861.57169999999996</v>
      </c>
      <c r="D250" s="13">
        <v>413.6173</v>
      </c>
    </row>
    <row r="251" spans="1:4" s="1" customFormat="1" ht="19.75" customHeight="1" x14ac:dyDescent="0.25">
      <c r="A251" s="9">
        <f>2023</f>
        <v>2023</v>
      </c>
      <c r="B251" s="4" t="s">
        <v>8</v>
      </c>
      <c r="C251" s="2">
        <v>930.44140000000004</v>
      </c>
      <c r="D251" s="14">
        <v>462.82940000000002</v>
      </c>
    </row>
    <row r="252" spans="1:4" s="1" customFormat="1" ht="19.75" customHeight="1" x14ac:dyDescent="0.25">
      <c r="A252" s="9">
        <f>2023</f>
        <v>2023</v>
      </c>
      <c r="B252" s="4" t="s">
        <v>135</v>
      </c>
      <c r="C252" s="5">
        <v>101.5265</v>
      </c>
      <c r="D252" s="13">
        <v>78.159300000000002</v>
      </c>
    </row>
    <row r="253" spans="1:4" s="1" customFormat="1" ht="19.75" customHeight="1" x14ac:dyDescent="0.25">
      <c r="A253" s="9">
        <f>2023</f>
        <v>2023</v>
      </c>
      <c r="B253" s="4" t="s">
        <v>7</v>
      </c>
      <c r="C253" s="2">
        <v>2.2296079999999998</v>
      </c>
      <c r="D253" s="14">
        <v>17.276602</v>
      </c>
    </row>
    <row r="254" spans="1:4" s="1" customFormat="1" ht="19.75" customHeight="1" x14ac:dyDescent="0.25">
      <c r="A254" s="9">
        <f>2023</f>
        <v>2023</v>
      </c>
      <c r="B254" s="4" t="s">
        <v>119</v>
      </c>
      <c r="C254" s="5">
        <v>64.1571</v>
      </c>
      <c r="D254" s="13">
        <v>34.742899999999999</v>
      </c>
    </row>
    <row r="255" spans="1:4" s="1" customFormat="1" ht="19.75" customHeight="1" x14ac:dyDescent="0.25">
      <c r="A255" s="9">
        <f>2023</f>
        <v>2023</v>
      </c>
      <c r="B255" s="4" t="s">
        <v>98</v>
      </c>
      <c r="C255" s="2">
        <v>1.5430919999999999</v>
      </c>
      <c r="D255" s="14">
        <v>50.216164999999997</v>
      </c>
    </row>
    <row r="256" spans="1:4" s="1" customFormat="1" ht="19.75" customHeight="1" x14ac:dyDescent="0.25">
      <c r="A256" s="9">
        <f>2023</f>
        <v>2023</v>
      </c>
      <c r="B256" s="4" t="s">
        <v>6</v>
      </c>
      <c r="C256" s="5">
        <v>453.39060000000001</v>
      </c>
      <c r="D256" s="13">
        <v>375.97739999999999</v>
      </c>
    </row>
    <row r="257" spans="1:4" s="1" customFormat="1" ht="19.75" customHeight="1" x14ac:dyDescent="0.25">
      <c r="A257" s="9">
        <f>2023</f>
        <v>2023</v>
      </c>
      <c r="B257" s="4" t="s">
        <v>5</v>
      </c>
      <c r="C257" s="2">
        <v>525.52930000000003</v>
      </c>
      <c r="D257" s="14">
        <v>158.9151</v>
      </c>
    </row>
    <row r="258" spans="1:4" s="1" customFormat="1" ht="19.75" customHeight="1" x14ac:dyDescent="0.25">
      <c r="A258" s="9">
        <f>2023</f>
        <v>2023</v>
      </c>
      <c r="B258" s="4" t="s">
        <v>4</v>
      </c>
      <c r="C258" s="5">
        <v>154.547</v>
      </c>
      <c r="D258" s="13">
        <v>173.9417</v>
      </c>
    </row>
    <row r="259" spans="1:4" s="1" customFormat="1" ht="19.75" customHeight="1" x14ac:dyDescent="0.25">
      <c r="A259" s="9">
        <f>2023</f>
        <v>2023</v>
      </c>
      <c r="B259" s="4" t="s">
        <v>3</v>
      </c>
      <c r="C259" s="2">
        <v>2.4918</v>
      </c>
      <c r="D259" s="14">
        <v>9.1861999999999995</v>
      </c>
    </row>
    <row r="260" spans="1:4" s="1" customFormat="1" ht="19.75" customHeight="1" x14ac:dyDescent="0.25">
      <c r="A260" s="9">
        <f>2023</f>
        <v>2023</v>
      </c>
      <c r="B260" s="4" t="s">
        <v>2</v>
      </c>
      <c r="C260" s="5">
        <v>4105.4441619999998</v>
      </c>
      <c r="D260" s="13">
        <v>4032.290559</v>
      </c>
    </row>
    <row r="261" spans="1:4" s="1" customFormat="1" ht="19.75" customHeight="1" x14ac:dyDescent="0.25">
      <c r="A261" s="9">
        <f>2023</f>
        <v>2023</v>
      </c>
      <c r="B261" s="4" t="s">
        <v>105</v>
      </c>
      <c r="C261" s="2">
        <v>860.13060700000005</v>
      </c>
      <c r="D261" s="14">
        <v>291.11604699999998</v>
      </c>
    </row>
    <row r="262" spans="1:4" s="1" customFormat="1" ht="19.75" customHeight="1" x14ac:dyDescent="0.25">
      <c r="A262" s="9">
        <f>2023</f>
        <v>2023</v>
      </c>
      <c r="B262" s="4" t="s">
        <v>134</v>
      </c>
      <c r="C262" s="5">
        <v>6113.6468999999997</v>
      </c>
      <c r="D262" s="13">
        <v>4750.7947000000004</v>
      </c>
    </row>
    <row r="263" spans="1:4" s="1" customFormat="1" ht="19.75" customHeight="1" x14ac:dyDescent="0.25">
      <c r="A263" s="9">
        <f>2023</f>
        <v>2023</v>
      </c>
      <c r="B263" s="4" t="s">
        <v>95</v>
      </c>
      <c r="C263" s="2">
        <v>23.751100000000001</v>
      </c>
      <c r="D263" s="14">
        <v>29.778600000000001</v>
      </c>
    </row>
    <row r="264" spans="1:4" s="1" customFormat="1" ht="19.75" customHeight="1" x14ac:dyDescent="0.25">
      <c r="A264" s="9">
        <f>2023</f>
        <v>2023</v>
      </c>
      <c r="B264" s="4" t="s">
        <v>97</v>
      </c>
      <c r="C264" s="5">
        <v>243.14420000000001</v>
      </c>
      <c r="D264" s="13">
        <v>57.408900000000003</v>
      </c>
    </row>
    <row r="265" spans="1:4" s="1" customFormat="1" ht="19.75" customHeight="1" x14ac:dyDescent="0.25">
      <c r="A265" s="9">
        <f>2023</f>
        <v>2023</v>
      </c>
      <c r="B265" s="4" t="s">
        <v>118</v>
      </c>
      <c r="C265" s="2">
        <v>3780.1263650000001</v>
      </c>
      <c r="D265" s="14">
        <v>3440.270043</v>
      </c>
    </row>
    <row r="266" spans="1:4" s="1" customFormat="1" ht="19.75" customHeight="1" x14ac:dyDescent="0.25">
      <c r="A266" s="9">
        <f>2023</f>
        <v>2023</v>
      </c>
      <c r="B266" s="4" t="s">
        <v>114</v>
      </c>
      <c r="C266" s="5">
        <v>354.02370000000002</v>
      </c>
      <c r="D266" s="13">
        <v>222.75380000000001</v>
      </c>
    </row>
    <row r="267" spans="1:4" s="1" customFormat="1" ht="19.75" customHeight="1" x14ac:dyDescent="0.25">
      <c r="A267" s="9">
        <f>2023</f>
        <v>2023</v>
      </c>
      <c r="B267" s="4" t="s">
        <v>113</v>
      </c>
      <c r="C267" s="2">
        <v>1617.1539</v>
      </c>
      <c r="D267" s="14">
        <v>2038.3024</v>
      </c>
    </row>
    <row r="268" spans="1:4" s="1" customFormat="1" ht="19.75" customHeight="1" x14ac:dyDescent="0.25">
      <c r="A268" s="9">
        <f>2023</f>
        <v>2023</v>
      </c>
      <c r="B268" s="4" t="s">
        <v>121</v>
      </c>
      <c r="C268" s="5">
        <v>1017.3185</v>
      </c>
      <c r="D268" s="13">
        <v>1230.5411999999999</v>
      </c>
    </row>
    <row r="269" spans="1:4" s="1" customFormat="1" ht="19.75" customHeight="1" x14ac:dyDescent="0.25">
      <c r="A269" s="9">
        <f>2023</f>
        <v>2023</v>
      </c>
      <c r="B269" s="4" t="s">
        <v>126</v>
      </c>
      <c r="C269" s="2">
        <v>653.67526599999997</v>
      </c>
      <c r="D269" s="14">
        <v>874.04837199999997</v>
      </c>
    </row>
    <row r="270" spans="1:4" s="1" customFormat="1" ht="19.75" customHeight="1" x14ac:dyDescent="0.25">
      <c r="A270" s="9">
        <f>2023</f>
        <v>2023</v>
      </c>
      <c r="B270" s="4" t="s">
        <v>125</v>
      </c>
      <c r="C270" s="5">
        <v>1414.9901</v>
      </c>
      <c r="D270" s="13">
        <v>1284.5103999999999</v>
      </c>
    </row>
    <row r="271" spans="1:4" s="1" customFormat="1" ht="19.75" customHeight="1" x14ac:dyDescent="0.25">
      <c r="A271" s="9">
        <f>2023</f>
        <v>2023</v>
      </c>
      <c r="B271" s="4" t="s">
        <v>124</v>
      </c>
      <c r="C271" s="2">
        <v>141.33090000000001</v>
      </c>
      <c r="D271" s="14">
        <v>177.8895</v>
      </c>
    </row>
    <row r="272" spans="1:4" s="1" customFormat="1" ht="19.75" customHeight="1" x14ac:dyDescent="0.25">
      <c r="A272" s="9">
        <f>2023</f>
        <v>2023</v>
      </c>
      <c r="B272" s="4" t="s">
        <v>132</v>
      </c>
      <c r="C272" s="5">
        <v>106.41679999999999</v>
      </c>
      <c r="D272" s="13">
        <v>106.0021</v>
      </c>
    </row>
    <row r="273" spans="1:4" s="1" customFormat="1" ht="19.75" customHeight="1" x14ac:dyDescent="0.25">
      <c r="A273" s="9">
        <f>2023</f>
        <v>2023</v>
      </c>
      <c r="B273" s="4" t="s">
        <v>117</v>
      </c>
      <c r="C273" s="2">
        <v>437.10808800000001</v>
      </c>
      <c r="D273" s="14">
        <v>506.53847999999999</v>
      </c>
    </row>
    <row r="274" spans="1:4" s="1" customFormat="1" ht="19.75" customHeight="1" x14ac:dyDescent="0.25">
      <c r="A274" s="9">
        <f>2023</f>
        <v>2023</v>
      </c>
      <c r="B274" s="4" t="s">
        <v>116</v>
      </c>
      <c r="C274" s="5">
        <v>1467.0925999999999</v>
      </c>
      <c r="D274" s="13">
        <v>1802.0597</v>
      </c>
    </row>
    <row r="275" spans="1:4" s="1" customFormat="1" ht="19.75" customHeight="1" x14ac:dyDescent="0.25">
      <c r="A275" s="9">
        <f>2023</f>
        <v>2023</v>
      </c>
      <c r="B275" s="4" t="s">
        <v>133</v>
      </c>
      <c r="C275" s="2">
        <v>174.91229999999999</v>
      </c>
      <c r="D275" s="14">
        <v>476.59519999999998</v>
      </c>
    </row>
    <row r="276" spans="1:4" s="1" customFormat="1" ht="19.75" customHeight="1" x14ac:dyDescent="0.25">
      <c r="A276" s="9">
        <f>2023</f>
        <v>2023</v>
      </c>
      <c r="B276" s="4" t="s">
        <v>115</v>
      </c>
      <c r="C276" s="5">
        <v>975.94889999999998</v>
      </c>
      <c r="D276" s="13">
        <v>990.0136</v>
      </c>
    </row>
    <row r="277" spans="1:4" s="1" customFormat="1" ht="19.75" customHeight="1" x14ac:dyDescent="0.25">
      <c r="A277" s="9">
        <f>2023</f>
        <v>2023</v>
      </c>
      <c r="B277" s="4" t="s">
        <v>131</v>
      </c>
      <c r="C277" s="2">
        <v>31.937169000000001</v>
      </c>
      <c r="D277" s="14">
        <v>1231.257468</v>
      </c>
    </row>
    <row r="278" spans="1:4" s="1" customFormat="1" ht="19.75" customHeight="1" x14ac:dyDescent="0.25">
      <c r="A278" s="9">
        <f>2023</f>
        <v>2023</v>
      </c>
      <c r="B278" s="4" t="s">
        <v>129</v>
      </c>
      <c r="C278" s="5">
        <v>47.368600000000001</v>
      </c>
      <c r="D278" s="13">
        <v>1117.4576999999999</v>
      </c>
    </row>
    <row r="279" spans="1:4" s="1" customFormat="1" ht="19.75" customHeight="1" x14ac:dyDescent="0.25">
      <c r="A279" s="9">
        <f>2023</f>
        <v>2023</v>
      </c>
      <c r="B279" s="4" t="s">
        <v>123</v>
      </c>
      <c r="C279" s="2">
        <v>94.021600000000007</v>
      </c>
      <c r="D279" s="14">
        <v>646.14099999999996</v>
      </c>
    </row>
    <row r="280" spans="1:4" s="1" customFormat="1" ht="19.75" customHeight="1" x14ac:dyDescent="0.25">
      <c r="A280" s="9">
        <f>2023</f>
        <v>2023</v>
      </c>
      <c r="B280" s="4" t="s">
        <v>130</v>
      </c>
      <c r="C280" s="5">
        <v>72.363900000000001</v>
      </c>
      <c r="D280" s="13">
        <v>2583.7514999999999</v>
      </c>
    </row>
    <row r="281" spans="1:4" s="1" customFormat="1" ht="19.75" customHeight="1" x14ac:dyDescent="0.25">
      <c r="A281" s="9">
        <f>2022</f>
        <v>2022</v>
      </c>
      <c r="B281" s="4" t="s">
        <v>77</v>
      </c>
      <c r="C281" s="2">
        <v>37259.4421</v>
      </c>
      <c r="D281" s="14">
        <v>21716.4388</v>
      </c>
    </row>
    <row r="282" spans="1:4" s="1" customFormat="1" ht="19.75" customHeight="1" x14ac:dyDescent="0.25">
      <c r="A282" s="9">
        <f>2022</f>
        <v>2022</v>
      </c>
      <c r="B282" s="4" t="s">
        <v>76</v>
      </c>
      <c r="C282" s="5">
        <v>24013.7287</v>
      </c>
      <c r="D282" s="13">
        <v>11952.374299999999</v>
      </c>
    </row>
    <row r="283" spans="1:4" s="1" customFormat="1" ht="19.75" customHeight="1" x14ac:dyDescent="0.25">
      <c r="A283" s="9">
        <f>2022</f>
        <v>2022</v>
      </c>
      <c r="B283" s="4" t="s">
        <v>75</v>
      </c>
      <c r="C283" s="2">
        <v>6974.8230999999996</v>
      </c>
      <c r="D283" s="14">
        <v>3849.0128</v>
      </c>
    </row>
    <row r="284" spans="1:4" s="1" customFormat="1" ht="19.75" customHeight="1" x14ac:dyDescent="0.25">
      <c r="A284" s="9">
        <f>2022</f>
        <v>2022</v>
      </c>
      <c r="B284" s="4" t="s">
        <v>74</v>
      </c>
      <c r="C284" s="5">
        <v>43026.262600000002</v>
      </c>
      <c r="D284" s="13">
        <v>19791.905500000001</v>
      </c>
    </row>
    <row r="285" spans="1:4" s="1" customFormat="1" ht="19.75" customHeight="1" x14ac:dyDescent="0.25">
      <c r="A285" s="9">
        <f>2022</f>
        <v>2022</v>
      </c>
      <c r="B285" s="4" t="s">
        <v>73</v>
      </c>
      <c r="C285" s="2">
        <v>13314.882799999999</v>
      </c>
      <c r="D285" s="14">
        <v>7258.0986999999996</v>
      </c>
    </row>
    <row r="286" spans="1:4" s="1" customFormat="1" ht="19.75" customHeight="1" x14ac:dyDescent="0.25">
      <c r="A286" s="9">
        <f>2022</f>
        <v>2022</v>
      </c>
      <c r="B286" s="4" t="s">
        <v>69</v>
      </c>
      <c r="C286" s="5">
        <v>22128.270499999999</v>
      </c>
      <c r="D286" s="13">
        <v>10926.5028</v>
      </c>
    </row>
    <row r="287" spans="1:4" s="1" customFormat="1" ht="19.75" customHeight="1" x14ac:dyDescent="0.25">
      <c r="A287" s="9">
        <f>2022</f>
        <v>2022</v>
      </c>
      <c r="B287" s="4" t="s">
        <v>68</v>
      </c>
      <c r="C287" s="2">
        <v>10418.728499999999</v>
      </c>
      <c r="D287" s="14">
        <v>5451.2436150000003</v>
      </c>
    </row>
    <row r="288" spans="1:4" s="1" customFormat="1" ht="19.75" customHeight="1" x14ac:dyDescent="0.25">
      <c r="A288" s="9">
        <f>2022</f>
        <v>2022</v>
      </c>
      <c r="B288" s="4" t="s">
        <v>66</v>
      </c>
      <c r="C288" s="5">
        <v>4444.4953999999998</v>
      </c>
      <c r="D288" s="13">
        <v>2280.6028999999999</v>
      </c>
    </row>
    <row r="289" spans="1:4" s="1" customFormat="1" ht="19.75" customHeight="1" x14ac:dyDescent="0.25">
      <c r="A289" s="9">
        <f>2022</f>
        <v>2022</v>
      </c>
      <c r="B289" s="4" t="s">
        <v>65</v>
      </c>
      <c r="C289" s="2">
        <v>46185.0766</v>
      </c>
      <c r="D289" s="14">
        <v>20252.595099999999</v>
      </c>
    </row>
    <row r="290" spans="1:4" s="1" customFormat="1" ht="19.75" customHeight="1" x14ac:dyDescent="0.25">
      <c r="A290" s="9">
        <f>2022</f>
        <v>2022</v>
      </c>
      <c r="B290" s="4" t="s">
        <v>85</v>
      </c>
      <c r="C290" s="5">
        <v>154749.70430000001</v>
      </c>
      <c r="D290" s="13">
        <v>93397.515199999994</v>
      </c>
    </row>
    <row r="291" spans="1:4" s="1" customFormat="1" ht="19.75" customHeight="1" x14ac:dyDescent="0.25">
      <c r="A291" s="9">
        <f>2022</f>
        <v>2022</v>
      </c>
      <c r="B291" s="4" t="s">
        <v>63</v>
      </c>
      <c r="C291" s="2">
        <v>8508.3894999999993</v>
      </c>
      <c r="D291" s="14">
        <v>4776.3226000000004</v>
      </c>
    </row>
    <row r="292" spans="1:4" s="1" customFormat="1" ht="19.75" customHeight="1" x14ac:dyDescent="0.25">
      <c r="A292" s="9">
        <f>2022</f>
        <v>2022</v>
      </c>
      <c r="B292" s="4" t="s">
        <v>62</v>
      </c>
      <c r="C292" s="5">
        <v>40157.486400000002</v>
      </c>
      <c r="D292" s="13">
        <v>18438.073499999999</v>
      </c>
    </row>
    <row r="293" spans="1:4" s="1" customFormat="1" ht="19.75" customHeight="1" x14ac:dyDescent="0.25">
      <c r="A293" s="9">
        <f>2022</f>
        <v>2022</v>
      </c>
      <c r="B293" s="4" t="s">
        <v>59</v>
      </c>
      <c r="C293" s="2">
        <v>34244.613100000002</v>
      </c>
      <c r="D293" s="14">
        <v>23610.754300000001</v>
      </c>
    </row>
    <row r="294" spans="1:4" s="1" customFormat="1" ht="19.75" customHeight="1" x14ac:dyDescent="0.25">
      <c r="A294" s="9">
        <f>2022</f>
        <v>2022</v>
      </c>
      <c r="B294" s="4" t="s">
        <v>112</v>
      </c>
      <c r="C294" s="5">
        <v>5157.1016</v>
      </c>
      <c r="D294" s="13">
        <v>3523.5605</v>
      </c>
    </row>
    <row r="295" spans="1:4" s="1" customFormat="1" ht="19.75" customHeight="1" x14ac:dyDescent="0.25">
      <c r="A295" s="9">
        <f>2022</f>
        <v>2022</v>
      </c>
      <c r="B295" s="4" t="s">
        <v>54</v>
      </c>
      <c r="C295" s="2">
        <v>2188.2905000000001</v>
      </c>
      <c r="D295" s="14">
        <v>1080.2614000000001</v>
      </c>
    </row>
    <row r="296" spans="1:4" s="1" customFormat="1" ht="19.75" customHeight="1" x14ac:dyDescent="0.25">
      <c r="A296" s="9">
        <f>2022</f>
        <v>2022</v>
      </c>
      <c r="B296" s="4" t="s">
        <v>53</v>
      </c>
      <c r="C296" s="5">
        <v>885.01059999999995</v>
      </c>
      <c r="D296" s="13">
        <v>786.37990000000002</v>
      </c>
    </row>
    <row r="297" spans="1:4" s="1" customFormat="1" ht="19.75" customHeight="1" x14ac:dyDescent="0.25">
      <c r="A297" s="9">
        <f>2022</f>
        <v>2022</v>
      </c>
      <c r="B297" s="4" t="s">
        <v>52</v>
      </c>
      <c r="C297" s="2">
        <v>2155.2575999999999</v>
      </c>
      <c r="D297" s="14">
        <v>1012.5643</v>
      </c>
    </row>
    <row r="298" spans="1:4" s="1" customFormat="1" ht="19.75" customHeight="1" x14ac:dyDescent="0.25">
      <c r="A298" s="9">
        <f>2022</f>
        <v>2022</v>
      </c>
      <c r="B298" s="4" t="s">
        <v>51</v>
      </c>
      <c r="C298" s="5">
        <v>554.32420000000002</v>
      </c>
      <c r="D298" s="13">
        <v>397.13279999999997</v>
      </c>
    </row>
    <row r="299" spans="1:4" s="1" customFormat="1" ht="19.75" customHeight="1" x14ac:dyDescent="0.25">
      <c r="A299" s="9">
        <f>2022</f>
        <v>2022</v>
      </c>
      <c r="B299" s="4" t="s">
        <v>50</v>
      </c>
      <c r="C299" s="2">
        <v>7698.8019999999997</v>
      </c>
      <c r="D299" s="14">
        <v>4293.1938</v>
      </c>
    </row>
    <row r="300" spans="1:4" s="1" customFormat="1" ht="19.75" customHeight="1" x14ac:dyDescent="0.25">
      <c r="A300" s="9">
        <f>2022</f>
        <v>2022</v>
      </c>
      <c r="B300" s="4" t="s">
        <v>48</v>
      </c>
      <c r="C300" s="5">
        <v>55743.528200000001</v>
      </c>
      <c r="D300" s="13">
        <v>37442.185799999999</v>
      </c>
    </row>
    <row r="301" spans="1:4" s="1" customFormat="1" ht="19.75" customHeight="1" x14ac:dyDescent="0.25">
      <c r="A301" s="9">
        <f>2022</f>
        <v>2022</v>
      </c>
      <c r="B301" s="4" t="s">
        <v>47</v>
      </c>
      <c r="C301" s="2">
        <v>38908.450700000001</v>
      </c>
      <c r="D301" s="14">
        <v>26733.315999999999</v>
      </c>
    </row>
    <row r="302" spans="1:4" s="1" customFormat="1" ht="19.75" customHeight="1" x14ac:dyDescent="0.25">
      <c r="A302" s="9">
        <f>2022</f>
        <v>2022</v>
      </c>
      <c r="B302" s="4" t="s">
        <v>92</v>
      </c>
      <c r="C302" s="5">
        <v>9129.4109900000003</v>
      </c>
      <c r="D302" s="13">
        <v>6357.2343899999996</v>
      </c>
    </row>
    <row r="303" spans="1:4" s="1" customFormat="1" ht="19.75" customHeight="1" x14ac:dyDescent="0.25">
      <c r="A303" s="9">
        <f>2022</f>
        <v>2022</v>
      </c>
      <c r="B303" s="4" t="s">
        <v>122</v>
      </c>
      <c r="C303" s="2">
        <v>7466.520595</v>
      </c>
      <c r="D303" s="14">
        <v>9644.4497640000009</v>
      </c>
    </row>
    <row r="304" spans="1:4" s="1" customFormat="1" ht="19.75" customHeight="1" x14ac:dyDescent="0.25">
      <c r="A304" s="9">
        <f>2022</f>
        <v>2022</v>
      </c>
      <c r="B304" s="4" t="s">
        <v>46</v>
      </c>
      <c r="C304" s="5">
        <v>15821.5978</v>
      </c>
      <c r="D304" s="13">
        <v>9559.2904299999991</v>
      </c>
    </row>
    <row r="305" spans="1:4" s="1" customFormat="1" ht="19.75" customHeight="1" x14ac:dyDescent="0.25">
      <c r="A305" s="9">
        <f>2022</f>
        <v>2022</v>
      </c>
      <c r="B305" s="4" t="s">
        <v>44</v>
      </c>
      <c r="C305" s="2">
        <v>4102.2457999999997</v>
      </c>
      <c r="D305" s="14">
        <v>3592.7773999999999</v>
      </c>
    </row>
    <row r="306" spans="1:4" s="1" customFormat="1" ht="19.75" customHeight="1" x14ac:dyDescent="0.25">
      <c r="A306" s="9">
        <f>2022</f>
        <v>2022</v>
      </c>
      <c r="B306" s="4" t="s">
        <v>43</v>
      </c>
      <c r="C306" s="5">
        <v>3730.6279</v>
      </c>
      <c r="D306" s="13">
        <v>1810.9172000000001</v>
      </c>
    </row>
    <row r="307" spans="1:4" s="1" customFormat="1" ht="19.75" customHeight="1" x14ac:dyDescent="0.25">
      <c r="A307" s="9">
        <f>2022</f>
        <v>2022</v>
      </c>
      <c r="B307" s="4" t="s">
        <v>42</v>
      </c>
      <c r="C307" s="2">
        <v>2872.2966590000001</v>
      </c>
      <c r="D307" s="14">
        <v>1854.2197570000001</v>
      </c>
    </row>
    <row r="308" spans="1:4" s="1" customFormat="1" ht="19.75" customHeight="1" x14ac:dyDescent="0.25">
      <c r="A308" s="9">
        <f>2022</f>
        <v>2022</v>
      </c>
      <c r="B308" s="4" t="s">
        <v>41</v>
      </c>
      <c r="C308" s="5">
        <v>10220.912200000001</v>
      </c>
      <c r="D308" s="13">
        <v>11121.388499999999</v>
      </c>
    </row>
    <row r="309" spans="1:4" s="1" customFormat="1" ht="19.75" customHeight="1" x14ac:dyDescent="0.25">
      <c r="A309" s="9">
        <f>2022</f>
        <v>2022</v>
      </c>
      <c r="B309" s="4" t="s">
        <v>38</v>
      </c>
      <c r="C309" s="2">
        <v>312.11</v>
      </c>
      <c r="D309" s="14">
        <v>190.21340000000001</v>
      </c>
    </row>
    <row r="310" spans="1:4" s="1" customFormat="1" ht="19.75" customHeight="1" x14ac:dyDescent="0.25">
      <c r="A310" s="9">
        <f>2022</f>
        <v>2022</v>
      </c>
      <c r="B310" s="4" t="s">
        <v>37</v>
      </c>
      <c r="C310" s="5">
        <v>4149.0501000000004</v>
      </c>
      <c r="D310" s="13">
        <v>3621.9569999999999</v>
      </c>
    </row>
    <row r="311" spans="1:4" s="1" customFormat="1" ht="19.75" customHeight="1" x14ac:dyDescent="0.25">
      <c r="A311" s="9">
        <f>2022</f>
        <v>2022</v>
      </c>
      <c r="B311" s="4" t="s">
        <v>34</v>
      </c>
      <c r="C311" s="2">
        <v>4346.7803000000004</v>
      </c>
      <c r="D311" s="14">
        <v>2026.2913000000001</v>
      </c>
    </row>
    <row r="312" spans="1:4" s="1" customFormat="1" ht="19.75" customHeight="1" x14ac:dyDescent="0.25">
      <c r="A312" s="9">
        <f>2022</f>
        <v>2022</v>
      </c>
      <c r="B312" s="4" t="s">
        <v>33</v>
      </c>
      <c r="C312" s="5">
        <v>2018.6309000000001</v>
      </c>
      <c r="D312" s="13">
        <v>1111.0354</v>
      </c>
    </row>
    <row r="313" spans="1:4" s="1" customFormat="1" ht="19.75" customHeight="1" x14ac:dyDescent="0.25">
      <c r="A313" s="9">
        <f>2022</f>
        <v>2022</v>
      </c>
      <c r="B313" s="4" t="s">
        <v>31</v>
      </c>
      <c r="C313" s="2">
        <v>12525.6577</v>
      </c>
      <c r="D313" s="14">
        <v>6844.3940000000002</v>
      </c>
    </row>
    <row r="314" spans="1:4" s="1" customFormat="1" ht="19.75" customHeight="1" x14ac:dyDescent="0.25">
      <c r="A314" s="9">
        <f>2022</f>
        <v>2022</v>
      </c>
      <c r="B314" s="4" t="s">
        <v>30</v>
      </c>
      <c r="C314" s="5">
        <v>0.71789999999999998</v>
      </c>
      <c r="D314" s="13">
        <v>17.231200000000001</v>
      </c>
    </row>
    <row r="315" spans="1:4" s="1" customFormat="1" ht="19.75" customHeight="1" x14ac:dyDescent="0.25">
      <c r="A315" s="9">
        <f>2022</f>
        <v>2022</v>
      </c>
      <c r="B315" s="4" t="s">
        <v>29</v>
      </c>
      <c r="C315" s="15"/>
      <c r="D315" s="14">
        <v>18.808</v>
      </c>
    </row>
    <row r="316" spans="1:4" s="1" customFormat="1" ht="19.75" customHeight="1" x14ac:dyDescent="0.25">
      <c r="A316" s="9">
        <f>2022</f>
        <v>2022</v>
      </c>
      <c r="B316" s="4" t="s">
        <v>91</v>
      </c>
      <c r="C316" s="5">
        <v>106.99979999999999</v>
      </c>
      <c r="D316" s="13">
        <v>1257.6524999999999</v>
      </c>
    </row>
    <row r="317" spans="1:4" s="1" customFormat="1" ht="19.75" customHeight="1" x14ac:dyDescent="0.25">
      <c r="A317" s="9">
        <f>2022</f>
        <v>2022</v>
      </c>
      <c r="B317" s="4" t="s">
        <v>103</v>
      </c>
      <c r="C317" s="2">
        <v>107.42740000000001</v>
      </c>
      <c r="D317" s="14">
        <v>168.3441</v>
      </c>
    </row>
    <row r="318" spans="1:4" s="1" customFormat="1" ht="19.75" customHeight="1" x14ac:dyDescent="0.25">
      <c r="A318" s="9">
        <f>2022</f>
        <v>2022</v>
      </c>
      <c r="B318" s="4" t="s">
        <v>27</v>
      </c>
      <c r="C318" s="5">
        <v>513.07849999999996</v>
      </c>
      <c r="D318" s="13">
        <v>893.48320000000001</v>
      </c>
    </row>
    <row r="319" spans="1:4" s="1" customFormat="1" ht="19.75" customHeight="1" x14ac:dyDescent="0.25">
      <c r="A319" s="9">
        <f>2022</f>
        <v>2022</v>
      </c>
      <c r="B319" s="4" t="s">
        <v>26</v>
      </c>
      <c r="C319" s="2">
        <v>103.4842</v>
      </c>
      <c r="D319" s="14">
        <v>38.661900000000003</v>
      </c>
    </row>
    <row r="320" spans="1:4" s="1" customFormat="1" ht="19.75" customHeight="1" x14ac:dyDescent="0.25">
      <c r="A320" s="9">
        <f>2022</f>
        <v>2022</v>
      </c>
      <c r="B320" s="4" t="s">
        <v>25</v>
      </c>
      <c r="C320" s="5">
        <v>13.043374999999999</v>
      </c>
      <c r="D320" s="13">
        <v>10.57429</v>
      </c>
    </row>
    <row r="321" spans="1:4" s="1" customFormat="1" ht="19.75" customHeight="1" x14ac:dyDescent="0.25">
      <c r="A321" s="9">
        <f>2022</f>
        <v>2022</v>
      </c>
      <c r="B321" s="4" t="s">
        <v>128</v>
      </c>
      <c r="C321" s="2">
        <v>1.2598</v>
      </c>
      <c r="D321" s="14">
        <v>40.728400000000001</v>
      </c>
    </row>
    <row r="322" spans="1:4" s="1" customFormat="1" ht="19.75" customHeight="1" x14ac:dyDescent="0.25">
      <c r="A322" s="9">
        <f>2022</f>
        <v>2022</v>
      </c>
      <c r="B322" s="4" t="s">
        <v>24</v>
      </c>
      <c r="C322" s="5">
        <v>101.0788</v>
      </c>
      <c r="D322" s="13">
        <v>92.541499999999999</v>
      </c>
    </row>
    <row r="323" spans="1:4" s="1" customFormat="1" ht="19.75" customHeight="1" x14ac:dyDescent="0.25">
      <c r="A323" s="9">
        <f>2022</f>
        <v>2022</v>
      </c>
      <c r="B323" s="4" t="s">
        <v>23</v>
      </c>
      <c r="C323" s="2">
        <v>507.73419999999999</v>
      </c>
      <c r="D323" s="14">
        <v>554.83219999999994</v>
      </c>
    </row>
    <row r="324" spans="1:4" s="1" customFormat="1" ht="19.75" customHeight="1" x14ac:dyDescent="0.25">
      <c r="A324" s="9">
        <f>2022</f>
        <v>2022</v>
      </c>
      <c r="B324" s="4" t="s">
        <v>22</v>
      </c>
      <c r="C324" s="5">
        <v>823.56410000000005</v>
      </c>
      <c r="D324" s="13">
        <v>610.89179999999999</v>
      </c>
    </row>
    <row r="325" spans="1:4" s="1" customFormat="1" ht="19.75" customHeight="1" x14ac:dyDescent="0.25">
      <c r="A325" s="9">
        <f>2022</f>
        <v>2022</v>
      </c>
      <c r="B325" s="4" t="s">
        <v>21</v>
      </c>
      <c r="C325" s="2">
        <v>2635.7068399999998</v>
      </c>
      <c r="D325" s="14">
        <v>4762.4942140000003</v>
      </c>
    </row>
    <row r="326" spans="1:4" s="1" customFormat="1" ht="19.75" customHeight="1" x14ac:dyDescent="0.25">
      <c r="A326" s="9">
        <f>2022</f>
        <v>2022</v>
      </c>
      <c r="B326" s="4" t="s">
        <v>102</v>
      </c>
      <c r="C326" s="5">
        <v>98.992599999999996</v>
      </c>
      <c r="D326" s="13">
        <v>139.82919999999999</v>
      </c>
    </row>
    <row r="327" spans="1:4" s="1" customFormat="1" ht="19.75" customHeight="1" x14ac:dyDescent="0.25">
      <c r="A327" s="9">
        <f>2022</f>
        <v>2022</v>
      </c>
      <c r="B327" s="4" t="s">
        <v>20</v>
      </c>
      <c r="C327" s="2">
        <v>222.93933100000001</v>
      </c>
      <c r="D327" s="14">
        <v>190.35626600000001</v>
      </c>
    </row>
    <row r="328" spans="1:4" s="1" customFormat="1" ht="19.75" customHeight="1" x14ac:dyDescent="0.25">
      <c r="A328" s="9">
        <f>2022</f>
        <v>2022</v>
      </c>
      <c r="B328" s="4" t="s">
        <v>101</v>
      </c>
      <c r="C328" s="5">
        <v>428.04059999999998</v>
      </c>
      <c r="D328" s="13">
        <v>95.125299999999996</v>
      </c>
    </row>
    <row r="329" spans="1:4" s="1" customFormat="1" ht="19.75" customHeight="1" x14ac:dyDescent="0.25">
      <c r="A329" s="9">
        <f>2022</f>
        <v>2022</v>
      </c>
      <c r="B329" s="4" t="s">
        <v>19</v>
      </c>
      <c r="C329" s="2">
        <v>58.101799999999997</v>
      </c>
      <c r="D329" s="14">
        <v>56.660400000000003</v>
      </c>
    </row>
    <row r="330" spans="1:4" s="1" customFormat="1" ht="19.75" customHeight="1" x14ac:dyDescent="0.25">
      <c r="A330" s="9">
        <f>2022</f>
        <v>2022</v>
      </c>
      <c r="B330" s="4" t="s">
        <v>18</v>
      </c>
      <c r="C330" s="5">
        <v>2310.3676999999998</v>
      </c>
      <c r="D330" s="13">
        <v>2652.1828999999998</v>
      </c>
    </row>
    <row r="331" spans="1:4" s="1" customFormat="1" ht="19.75" customHeight="1" x14ac:dyDescent="0.25">
      <c r="A331" s="9">
        <f>2022</f>
        <v>2022</v>
      </c>
      <c r="B331" s="4" t="s">
        <v>17</v>
      </c>
      <c r="C331" s="2">
        <v>2380.2393999999999</v>
      </c>
      <c r="D331" s="14">
        <v>2632.4238999999998</v>
      </c>
    </row>
    <row r="332" spans="1:4" s="1" customFormat="1" ht="19.75" customHeight="1" x14ac:dyDescent="0.25">
      <c r="A332" s="9">
        <f>2022</f>
        <v>2022</v>
      </c>
      <c r="B332" s="4" t="s">
        <v>107</v>
      </c>
      <c r="C332" s="5">
        <v>36.7697</v>
      </c>
      <c r="D332" s="13">
        <v>41.528199999999998</v>
      </c>
    </row>
    <row r="333" spans="1:4" s="1" customFormat="1" ht="19.75" customHeight="1" x14ac:dyDescent="0.25">
      <c r="A333" s="9">
        <f>2022</f>
        <v>2022</v>
      </c>
      <c r="B333" s="4" t="s">
        <v>120</v>
      </c>
      <c r="C333" s="2">
        <v>61.252200000000002</v>
      </c>
      <c r="D333" s="14">
        <v>80.265299999999996</v>
      </c>
    </row>
    <row r="334" spans="1:4" s="1" customFormat="1" ht="19.75" customHeight="1" x14ac:dyDescent="0.25">
      <c r="A334" s="9">
        <f>2022</f>
        <v>2022</v>
      </c>
      <c r="B334" s="4" t="s">
        <v>110</v>
      </c>
      <c r="C334" s="5">
        <v>190.1019</v>
      </c>
      <c r="D334" s="13">
        <v>100.761</v>
      </c>
    </row>
    <row r="335" spans="1:4" s="1" customFormat="1" ht="19.75" customHeight="1" x14ac:dyDescent="0.25">
      <c r="A335" s="9">
        <f>2022</f>
        <v>2022</v>
      </c>
      <c r="B335" s="4" t="s">
        <v>94</v>
      </c>
      <c r="C335" s="2">
        <v>0.78869999999999996</v>
      </c>
      <c r="D335" s="14">
        <v>41.903399999999998</v>
      </c>
    </row>
    <row r="336" spans="1:4" s="1" customFormat="1" ht="19.75" customHeight="1" x14ac:dyDescent="0.25">
      <c r="A336" s="9">
        <f>2022</f>
        <v>2022</v>
      </c>
      <c r="B336" s="4" t="s">
        <v>16</v>
      </c>
      <c r="C336" s="5">
        <v>4370.7983999999997</v>
      </c>
      <c r="D336" s="13">
        <v>4084.2274000000002</v>
      </c>
    </row>
    <row r="337" spans="1:4" s="1" customFormat="1" ht="19.75" customHeight="1" x14ac:dyDescent="0.25">
      <c r="A337" s="9">
        <f>2022</f>
        <v>2022</v>
      </c>
      <c r="B337" s="4" t="s">
        <v>100</v>
      </c>
      <c r="C337" s="2">
        <v>74.268799999999999</v>
      </c>
      <c r="D337" s="14">
        <v>57.252899999999997</v>
      </c>
    </row>
    <row r="338" spans="1:4" s="1" customFormat="1" ht="19.75" customHeight="1" x14ac:dyDescent="0.25">
      <c r="A338" s="9">
        <f>2022</f>
        <v>2022</v>
      </c>
      <c r="B338" s="4" t="s">
        <v>109</v>
      </c>
      <c r="C338" s="5">
        <v>3.9194</v>
      </c>
      <c r="D338" s="13">
        <v>15.0755</v>
      </c>
    </row>
    <row r="339" spans="1:4" s="1" customFormat="1" ht="19.75" customHeight="1" x14ac:dyDescent="0.25">
      <c r="A339" s="9">
        <f>2022</f>
        <v>2022</v>
      </c>
      <c r="B339" s="4" t="s">
        <v>13</v>
      </c>
      <c r="C339" s="2">
        <v>759.76049999999998</v>
      </c>
      <c r="D339" s="14">
        <v>697.75329999999997</v>
      </c>
    </row>
    <row r="340" spans="1:4" s="1" customFormat="1" ht="19.75" customHeight="1" x14ac:dyDescent="0.25">
      <c r="A340" s="9">
        <f>2022</f>
        <v>2022</v>
      </c>
      <c r="B340" s="4" t="s">
        <v>90</v>
      </c>
      <c r="C340" s="12"/>
      <c r="D340" s="13">
        <v>8.9039129999999993</v>
      </c>
    </row>
    <row r="341" spans="1:4" s="1" customFormat="1" ht="19.75" customHeight="1" x14ac:dyDescent="0.25">
      <c r="A341" s="9">
        <f>2022</f>
        <v>2022</v>
      </c>
      <c r="B341" s="4" t="s">
        <v>108</v>
      </c>
      <c r="C341" s="2">
        <v>32.314300000000003</v>
      </c>
      <c r="D341" s="14">
        <v>35.282200000000003</v>
      </c>
    </row>
    <row r="342" spans="1:4" s="1" customFormat="1" ht="19.75" customHeight="1" x14ac:dyDescent="0.25">
      <c r="A342" s="9">
        <f>2022</f>
        <v>2022</v>
      </c>
      <c r="B342" s="4" t="s">
        <v>127</v>
      </c>
      <c r="C342" s="5">
        <v>43.080800000000004</v>
      </c>
      <c r="D342" s="13">
        <v>25.5883</v>
      </c>
    </row>
    <row r="343" spans="1:4" s="1" customFormat="1" ht="19.75" customHeight="1" x14ac:dyDescent="0.25">
      <c r="A343" s="9">
        <f>2022</f>
        <v>2022</v>
      </c>
      <c r="B343" s="4" t="s">
        <v>11</v>
      </c>
      <c r="C343" s="2">
        <v>1.6836</v>
      </c>
      <c r="D343" s="14">
        <v>6.0262000000000002</v>
      </c>
    </row>
    <row r="344" spans="1:4" s="1" customFormat="1" ht="19.75" customHeight="1" x14ac:dyDescent="0.25">
      <c r="A344" s="9">
        <f>2022</f>
        <v>2022</v>
      </c>
      <c r="B344" s="4" t="s">
        <v>10</v>
      </c>
      <c r="C344" s="5">
        <v>3.4678</v>
      </c>
      <c r="D344" s="13">
        <v>29.913699999999999</v>
      </c>
    </row>
    <row r="345" spans="1:4" s="1" customFormat="1" ht="19.75" customHeight="1" x14ac:dyDescent="0.25">
      <c r="A345" s="9">
        <f>2022</f>
        <v>2022</v>
      </c>
      <c r="B345" s="4" t="s">
        <v>9</v>
      </c>
      <c r="C345" s="2">
        <v>369.28289999999998</v>
      </c>
      <c r="D345" s="14">
        <v>338.8313</v>
      </c>
    </row>
    <row r="346" spans="1:4" s="1" customFormat="1" ht="19.75" customHeight="1" x14ac:dyDescent="0.25">
      <c r="A346" s="9">
        <f>2022</f>
        <v>2022</v>
      </c>
      <c r="B346" s="4" t="s">
        <v>8</v>
      </c>
      <c r="C346" s="5">
        <v>622.97990000000004</v>
      </c>
      <c r="D346" s="13">
        <v>387.56670000000003</v>
      </c>
    </row>
    <row r="347" spans="1:4" s="1" customFormat="1" ht="19.75" customHeight="1" x14ac:dyDescent="0.25">
      <c r="A347" s="9">
        <f>2022</f>
        <v>2022</v>
      </c>
      <c r="B347" s="4" t="s">
        <v>7</v>
      </c>
      <c r="C347" s="2">
        <v>8.1373000000000001E-2</v>
      </c>
      <c r="D347" s="14">
        <v>33.722659999999998</v>
      </c>
    </row>
    <row r="348" spans="1:4" s="1" customFormat="1" ht="19.75" customHeight="1" x14ac:dyDescent="0.25">
      <c r="A348" s="9">
        <f>2022</f>
        <v>2022</v>
      </c>
      <c r="B348" s="4" t="s">
        <v>119</v>
      </c>
      <c r="C348" s="5">
        <v>36.438800000000001</v>
      </c>
      <c r="D348" s="13">
        <v>33.0015</v>
      </c>
    </row>
    <row r="349" spans="1:4" s="1" customFormat="1" ht="19.75" customHeight="1" x14ac:dyDescent="0.25">
      <c r="A349" s="9">
        <f>2022</f>
        <v>2022</v>
      </c>
      <c r="B349" s="4" t="s">
        <v>98</v>
      </c>
      <c r="C349" s="2">
        <v>0.35649999999999998</v>
      </c>
      <c r="D349" s="14">
        <v>40.825465000000001</v>
      </c>
    </row>
    <row r="350" spans="1:4" s="1" customFormat="1" ht="19.75" customHeight="1" x14ac:dyDescent="0.25">
      <c r="A350" s="9">
        <f>2022</f>
        <v>2022</v>
      </c>
      <c r="B350" s="4" t="s">
        <v>6</v>
      </c>
      <c r="C350" s="5">
        <v>272.21319999999997</v>
      </c>
      <c r="D350" s="13">
        <v>185.60300000000001</v>
      </c>
    </row>
    <row r="351" spans="1:4" s="1" customFormat="1" ht="19.75" customHeight="1" x14ac:dyDescent="0.25">
      <c r="A351" s="9">
        <f>2022</f>
        <v>2022</v>
      </c>
      <c r="B351" s="4" t="s">
        <v>5</v>
      </c>
      <c r="C351" s="2">
        <v>330.19659999999999</v>
      </c>
      <c r="D351" s="14">
        <v>147.55000000000001</v>
      </c>
    </row>
    <row r="352" spans="1:4" s="1" customFormat="1" ht="19.75" customHeight="1" x14ac:dyDescent="0.25">
      <c r="A352" s="9">
        <f>2022</f>
        <v>2022</v>
      </c>
      <c r="B352" s="4" t="s">
        <v>4</v>
      </c>
      <c r="C352" s="5">
        <v>68.369500000000002</v>
      </c>
      <c r="D352" s="13">
        <v>150.92140000000001</v>
      </c>
    </row>
    <row r="353" spans="1:4" s="1" customFormat="1" ht="19.75" customHeight="1" x14ac:dyDescent="0.25">
      <c r="A353" s="9">
        <f>2022</f>
        <v>2022</v>
      </c>
      <c r="B353" s="4" t="s">
        <v>3</v>
      </c>
      <c r="C353" s="2">
        <v>1.9440999999999999</v>
      </c>
      <c r="D353" s="14">
        <v>6.6901999999999999</v>
      </c>
    </row>
    <row r="354" spans="1:4" s="1" customFormat="1" ht="19.75" customHeight="1" x14ac:dyDescent="0.25">
      <c r="A354" s="9">
        <f>2022</f>
        <v>2022</v>
      </c>
      <c r="B354" s="4" t="s">
        <v>2</v>
      </c>
      <c r="C354" s="5">
        <v>3132.6191899999999</v>
      </c>
      <c r="D354" s="13">
        <v>3783.9522569999999</v>
      </c>
    </row>
    <row r="355" spans="1:4" s="1" customFormat="1" ht="19.75" customHeight="1" x14ac:dyDescent="0.25">
      <c r="A355" s="9">
        <f>2022</f>
        <v>2022</v>
      </c>
      <c r="B355" s="4" t="s">
        <v>105</v>
      </c>
      <c r="C355" s="2">
        <v>485.62552499999998</v>
      </c>
      <c r="D355" s="14">
        <v>229.25106600000001</v>
      </c>
    </row>
    <row r="356" spans="1:4" s="1" customFormat="1" ht="19.75" customHeight="1" x14ac:dyDescent="0.25">
      <c r="A356" s="9">
        <f>2022</f>
        <v>2022</v>
      </c>
      <c r="B356" s="4" t="s">
        <v>93</v>
      </c>
      <c r="C356" s="5">
        <v>41.910400000000003</v>
      </c>
      <c r="D356" s="13">
        <v>93.563599999999994</v>
      </c>
    </row>
    <row r="357" spans="1:4" s="1" customFormat="1" ht="19.75" customHeight="1" x14ac:dyDescent="0.25">
      <c r="A357" s="9">
        <f>2022</f>
        <v>2022</v>
      </c>
      <c r="B357" s="4" t="s">
        <v>95</v>
      </c>
      <c r="C357" s="2">
        <v>21.508600000000001</v>
      </c>
      <c r="D357" s="14">
        <v>28.5458</v>
      </c>
    </row>
    <row r="358" spans="1:4" s="1" customFormat="1" ht="19.75" customHeight="1" x14ac:dyDescent="0.25">
      <c r="A358" s="9">
        <f>2022</f>
        <v>2022</v>
      </c>
      <c r="B358" s="4" t="s">
        <v>97</v>
      </c>
      <c r="C358" s="5">
        <v>107.2338</v>
      </c>
      <c r="D358" s="13">
        <v>54.809600000000003</v>
      </c>
    </row>
    <row r="359" spans="1:4" s="1" customFormat="1" ht="19.75" customHeight="1" x14ac:dyDescent="0.25">
      <c r="A359" s="9">
        <f>2022</f>
        <v>2022</v>
      </c>
      <c r="B359" s="4" t="s">
        <v>118</v>
      </c>
      <c r="C359" s="2">
        <v>2687.6058400000002</v>
      </c>
      <c r="D359" s="14">
        <v>2412.7742330000001</v>
      </c>
    </row>
    <row r="360" spans="1:4" s="1" customFormat="1" ht="19.75" customHeight="1" x14ac:dyDescent="0.25">
      <c r="A360" s="9">
        <f>2022</f>
        <v>2022</v>
      </c>
      <c r="B360" s="4" t="s">
        <v>114</v>
      </c>
      <c r="C360" s="5">
        <v>322.93610000000001</v>
      </c>
      <c r="D360" s="13">
        <v>196.25290000000001</v>
      </c>
    </row>
    <row r="361" spans="1:4" s="1" customFormat="1" ht="19.75" customHeight="1" x14ac:dyDescent="0.25">
      <c r="A361" s="9">
        <f>2022</f>
        <v>2022</v>
      </c>
      <c r="B361" s="4" t="s">
        <v>113</v>
      </c>
      <c r="C361" s="2">
        <v>1421.1335999999999</v>
      </c>
      <c r="D361" s="14">
        <v>1704.1452999999999</v>
      </c>
    </row>
    <row r="362" spans="1:4" s="1" customFormat="1" ht="19.75" customHeight="1" x14ac:dyDescent="0.25">
      <c r="A362" s="9">
        <f>2022</f>
        <v>2022</v>
      </c>
      <c r="B362" s="4" t="s">
        <v>121</v>
      </c>
      <c r="C362" s="5">
        <v>792.78660000000002</v>
      </c>
      <c r="D362" s="13">
        <v>862.87109999999996</v>
      </c>
    </row>
    <row r="363" spans="1:4" s="1" customFormat="1" ht="19.75" customHeight="1" x14ac:dyDescent="0.25">
      <c r="A363" s="9">
        <f>2022</f>
        <v>2022</v>
      </c>
      <c r="B363" s="4" t="s">
        <v>126</v>
      </c>
      <c r="C363" s="2">
        <v>569.78140399999995</v>
      </c>
      <c r="D363" s="14">
        <v>646.80428400000005</v>
      </c>
    </row>
    <row r="364" spans="1:4" s="1" customFormat="1" ht="19.75" customHeight="1" x14ac:dyDescent="0.25">
      <c r="A364" s="9">
        <f>2022</f>
        <v>2022</v>
      </c>
      <c r="B364" s="4" t="s">
        <v>125</v>
      </c>
      <c r="C364" s="5">
        <v>1336.7509</v>
      </c>
      <c r="D364" s="13">
        <v>1138.8209999999999</v>
      </c>
    </row>
    <row r="365" spans="1:4" s="1" customFormat="1" ht="19.75" customHeight="1" x14ac:dyDescent="0.25">
      <c r="A365" s="9">
        <f>2022</f>
        <v>2022</v>
      </c>
      <c r="B365" s="4" t="s">
        <v>124</v>
      </c>
      <c r="C365" s="2">
        <v>122.05549999999999</v>
      </c>
      <c r="D365" s="14">
        <v>142.06950000000001</v>
      </c>
    </row>
    <row r="366" spans="1:4" s="1" customFormat="1" ht="19.75" customHeight="1" x14ac:dyDescent="0.25">
      <c r="A366" s="9">
        <f>2022</f>
        <v>2022</v>
      </c>
      <c r="B366" s="4" t="s">
        <v>132</v>
      </c>
      <c r="C366" s="5">
        <v>75.034300000000002</v>
      </c>
      <c r="D366" s="13">
        <v>66.325000000000003</v>
      </c>
    </row>
    <row r="367" spans="1:4" s="1" customFormat="1" ht="19.75" customHeight="1" x14ac:dyDescent="0.25">
      <c r="A367" s="9">
        <f>2022</f>
        <v>2022</v>
      </c>
      <c r="B367" s="4" t="s">
        <v>117</v>
      </c>
      <c r="C367" s="2">
        <v>357.365318</v>
      </c>
      <c r="D367" s="14">
        <v>413.10448200000002</v>
      </c>
    </row>
    <row r="368" spans="1:4" s="1" customFormat="1" ht="19.75" customHeight="1" x14ac:dyDescent="0.25">
      <c r="A368" s="9">
        <f>2022</f>
        <v>2022</v>
      </c>
      <c r="B368" s="4" t="s">
        <v>116</v>
      </c>
      <c r="C368" s="5">
        <v>1039.2070000000001</v>
      </c>
      <c r="D368" s="13">
        <v>1496.3806</v>
      </c>
    </row>
    <row r="369" spans="1:4" s="1" customFormat="1" ht="19.75" customHeight="1" x14ac:dyDescent="0.25">
      <c r="A369" s="9">
        <f>2022</f>
        <v>2022</v>
      </c>
      <c r="B369" s="4" t="s">
        <v>115</v>
      </c>
      <c r="C369" s="2">
        <v>787.96249999999998</v>
      </c>
      <c r="D369" s="14">
        <v>733.74950000000001</v>
      </c>
    </row>
    <row r="370" spans="1:4" s="1" customFormat="1" ht="19.75" customHeight="1" x14ac:dyDescent="0.25">
      <c r="A370" s="9">
        <f>2022</f>
        <v>2022</v>
      </c>
      <c r="B370" s="4" t="s">
        <v>131</v>
      </c>
      <c r="C370" s="5">
        <v>17.7624</v>
      </c>
      <c r="D370" s="13">
        <v>912.59670000000006</v>
      </c>
    </row>
    <row r="371" spans="1:4" s="1" customFormat="1" ht="19.75" customHeight="1" x14ac:dyDescent="0.25">
      <c r="A371" s="9">
        <f>2022</f>
        <v>2022</v>
      </c>
      <c r="B371" s="4" t="s">
        <v>129</v>
      </c>
      <c r="C371" s="2">
        <v>15.306100000000001</v>
      </c>
      <c r="D371" s="14">
        <v>950.80700000000002</v>
      </c>
    </row>
    <row r="372" spans="1:4" s="1" customFormat="1" ht="19.75" customHeight="1" x14ac:dyDescent="0.25">
      <c r="A372" s="9">
        <f>2022</f>
        <v>2022</v>
      </c>
      <c r="B372" s="4" t="s">
        <v>123</v>
      </c>
      <c r="C372" s="5">
        <v>71.124300000000005</v>
      </c>
      <c r="D372" s="13">
        <v>559.54499999999996</v>
      </c>
    </row>
    <row r="373" spans="1:4" s="1" customFormat="1" ht="19.75" customHeight="1" x14ac:dyDescent="0.25">
      <c r="A373" s="9">
        <f>2022</f>
        <v>2022</v>
      </c>
      <c r="B373" s="4" t="s">
        <v>130</v>
      </c>
      <c r="C373" s="2">
        <v>51.818100000000001</v>
      </c>
      <c r="D373" s="14">
        <v>2459.223</v>
      </c>
    </row>
    <row r="374" spans="1:4" s="1" customFormat="1" ht="19.75" customHeight="1" x14ac:dyDescent="0.25">
      <c r="A374" s="9">
        <f>2021</f>
        <v>2021</v>
      </c>
      <c r="B374" s="4" t="s">
        <v>77</v>
      </c>
      <c r="C374" s="5">
        <v>41686.035900000003</v>
      </c>
      <c r="D374" s="13">
        <v>20543.655999999999</v>
      </c>
    </row>
    <row r="375" spans="1:4" s="1" customFormat="1" ht="19.75" customHeight="1" x14ac:dyDescent="0.25">
      <c r="A375" s="9">
        <f>2021</f>
        <v>2021</v>
      </c>
      <c r="B375" s="4" t="s">
        <v>76</v>
      </c>
      <c r="C375" s="2">
        <v>26329.6031</v>
      </c>
      <c r="D375" s="14">
        <v>10839.106299999999</v>
      </c>
    </row>
    <row r="376" spans="1:4" s="1" customFormat="1" ht="19.75" customHeight="1" x14ac:dyDescent="0.25">
      <c r="A376" s="9">
        <f>2021</f>
        <v>2021</v>
      </c>
      <c r="B376" s="4" t="s">
        <v>75</v>
      </c>
      <c r="C376" s="5">
        <v>6971.0681999999997</v>
      </c>
      <c r="D376" s="13">
        <v>3565.0572000000002</v>
      </c>
    </row>
    <row r="377" spans="1:4" s="1" customFormat="1" ht="19.75" customHeight="1" x14ac:dyDescent="0.25">
      <c r="A377" s="9">
        <f>2021</f>
        <v>2021</v>
      </c>
      <c r="B377" s="4" t="s">
        <v>74</v>
      </c>
      <c r="C377" s="2">
        <v>45177.623699999996</v>
      </c>
      <c r="D377" s="14">
        <v>19338.1842</v>
      </c>
    </row>
    <row r="378" spans="1:4" s="1" customFormat="1" ht="19.75" customHeight="1" x14ac:dyDescent="0.25">
      <c r="A378" s="9">
        <f>2021</f>
        <v>2021</v>
      </c>
      <c r="B378" s="4" t="s">
        <v>73</v>
      </c>
      <c r="C378" s="5">
        <v>14485.1898</v>
      </c>
      <c r="D378" s="13">
        <v>6782.2330000000002</v>
      </c>
    </row>
    <row r="379" spans="1:4" s="1" customFormat="1" ht="19.75" customHeight="1" x14ac:dyDescent="0.25">
      <c r="A379" s="9">
        <f>2021</f>
        <v>2021</v>
      </c>
      <c r="B379" s="4" t="s">
        <v>69</v>
      </c>
      <c r="C379" s="2">
        <v>23439.839</v>
      </c>
      <c r="D379" s="14">
        <v>10349.552799999999</v>
      </c>
    </row>
    <row r="380" spans="1:4" s="1" customFormat="1" ht="19.75" customHeight="1" x14ac:dyDescent="0.25">
      <c r="A380" s="9">
        <f>2021</f>
        <v>2021</v>
      </c>
      <c r="B380" s="4" t="s">
        <v>68</v>
      </c>
      <c r="C380" s="5">
        <v>11067.0242</v>
      </c>
      <c r="D380" s="13">
        <v>5561.7212</v>
      </c>
    </row>
    <row r="381" spans="1:4" s="1" customFormat="1" ht="19.75" customHeight="1" x14ac:dyDescent="0.25">
      <c r="A381" s="9">
        <f>2021</f>
        <v>2021</v>
      </c>
      <c r="B381" s="4" t="s">
        <v>66</v>
      </c>
      <c r="C381" s="2">
        <v>4711.9993000000004</v>
      </c>
      <c r="D381" s="14">
        <v>2393.4965000000002</v>
      </c>
    </row>
    <row r="382" spans="1:4" s="1" customFormat="1" ht="19.75" customHeight="1" x14ac:dyDescent="0.25">
      <c r="A382" s="9">
        <f>2021</f>
        <v>2021</v>
      </c>
      <c r="B382" s="4" t="s">
        <v>65</v>
      </c>
      <c r="C382" s="5">
        <v>50272.791299999997</v>
      </c>
      <c r="D382" s="13">
        <v>20308.747500000001</v>
      </c>
    </row>
    <row r="383" spans="1:4" s="1" customFormat="1" ht="19.75" customHeight="1" x14ac:dyDescent="0.25">
      <c r="A383" s="9">
        <f>2021</f>
        <v>2021</v>
      </c>
      <c r="B383" s="4" t="s">
        <v>85</v>
      </c>
      <c r="C383" s="2">
        <v>154440.63329999999</v>
      </c>
      <c r="D383" s="14">
        <v>82652.223499999993</v>
      </c>
    </row>
    <row r="384" spans="1:4" s="1" customFormat="1" ht="19.75" customHeight="1" x14ac:dyDescent="0.25">
      <c r="A384" s="9">
        <f>2021</f>
        <v>2021</v>
      </c>
      <c r="B384" s="4" t="s">
        <v>63</v>
      </c>
      <c r="C384" s="5">
        <v>8966.4518000000007</v>
      </c>
      <c r="D384" s="13">
        <v>4754.8089</v>
      </c>
    </row>
    <row r="385" spans="1:4" s="1" customFormat="1" ht="19.75" customHeight="1" x14ac:dyDescent="0.25">
      <c r="A385" s="9">
        <f>2021</f>
        <v>2021</v>
      </c>
      <c r="B385" s="4" t="s">
        <v>62</v>
      </c>
      <c r="C385" s="2">
        <v>44078.908499999998</v>
      </c>
      <c r="D385" s="14">
        <v>16765.992699999999</v>
      </c>
    </row>
    <row r="386" spans="1:4" s="1" customFormat="1" ht="19.75" customHeight="1" x14ac:dyDescent="0.25">
      <c r="A386" s="9">
        <f>2021</f>
        <v>2021</v>
      </c>
      <c r="B386" s="4" t="s">
        <v>59</v>
      </c>
      <c r="C386" s="5">
        <v>34107.1103</v>
      </c>
      <c r="D386" s="13">
        <v>18375.149099999999</v>
      </c>
    </row>
    <row r="387" spans="1:4" s="1" customFormat="1" ht="19.75" customHeight="1" x14ac:dyDescent="0.25">
      <c r="A387" s="9">
        <f>2021</f>
        <v>2021</v>
      </c>
      <c r="B387" s="4" t="s">
        <v>112</v>
      </c>
      <c r="C387" s="2">
        <v>4960.8563450000001</v>
      </c>
      <c r="D387" s="14">
        <v>2816.8849310000001</v>
      </c>
    </row>
    <row r="388" spans="1:4" s="1" customFormat="1" ht="19.75" customHeight="1" x14ac:dyDescent="0.25">
      <c r="A388" s="9">
        <f>2021</f>
        <v>2021</v>
      </c>
      <c r="B388" s="4" t="s">
        <v>54</v>
      </c>
      <c r="C388" s="5">
        <v>2305.0182</v>
      </c>
      <c r="D388" s="13">
        <v>1050.5926999999999</v>
      </c>
    </row>
    <row r="389" spans="1:4" s="1" customFormat="1" ht="19.75" customHeight="1" x14ac:dyDescent="0.25">
      <c r="A389" s="9">
        <f>2021</f>
        <v>2021</v>
      </c>
      <c r="B389" s="4" t="s">
        <v>53</v>
      </c>
      <c r="C389" s="2">
        <v>930.90639999999996</v>
      </c>
      <c r="D389" s="14">
        <v>728.99519999999995</v>
      </c>
    </row>
    <row r="390" spans="1:4" s="1" customFormat="1" ht="19.75" customHeight="1" x14ac:dyDescent="0.25">
      <c r="A390" s="9">
        <f>2021</f>
        <v>2021</v>
      </c>
      <c r="B390" s="4" t="s">
        <v>52</v>
      </c>
      <c r="C390" s="5">
        <v>2171.5978</v>
      </c>
      <c r="D390" s="13">
        <v>846.62720000000002</v>
      </c>
    </row>
    <row r="391" spans="1:4" s="1" customFormat="1" ht="19.75" customHeight="1" x14ac:dyDescent="0.25">
      <c r="A391" s="9">
        <f>2021</f>
        <v>2021</v>
      </c>
      <c r="B391" s="4" t="s">
        <v>51</v>
      </c>
      <c r="C391" s="2">
        <v>601.09649999999999</v>
      </c>
      <c r="D391" s="14">
        <v>366.03899999999999</v>
      </c>
    </row>
    <row r="392" spans="1:4" s="1" customFormat="1" ht="19.75" customHeight="1" x14ac:dyDescent="0.25">
      <c r="A392" s="9">
        <f>2021</f>
        <v>2021</v>
      </c>
      <c r="B392" s="4" t="s">
        <v>50</v>
      </c>
      <c r="C392" s="5">
        <v>8224.1952999999994</v>
      </c>
      <c r="D392" s="13">
        <v>3691.7229000000002</v>
      </c>
    </row>
    <row r="393" spans="1:4" s="1" customFormat="1" ht="19.75" customHeight="1" x14ac:dyDescent="0.25">
      <c r="A393" s="9">
        <f>2021</f>
        <v>2021</v>
      </c>
      <c r="B393" s="4" t="s">
        <v>48</v>
      </c>
      <c r="C393" s="2">
        <v>55978.656000000003</v>
      </c>
      <c r="D393" s="14">
        <v>32722.630099999998</v>
      </c>
    </row>
    <row r="394" spans="1:4" s="1" customFormat="1" ht="19.75" customHeight="1" x14ac:dyDescent="0.25">
      <c r="A394" s="9">
        <f>2021</f>
        <v>2021</v>
      </c>
      <c r="B394" s="4" t="s">
        <v>47</v>
      </c>
      <c r="C394" s="5">
        <v>40128.837399999997</v>
      </c>
      <c r="D394" s="13">
        <v>21560.833999999999</v>
      </c>
    </row>
    <row r="395" spans="1:4" s="1" customFormat="1" ht="19.75" customHeight="1" x14ac:dyDescent="0.25">
      <c r="A395" s="9">
        <f>2021</f>
        <v>2021</v>
      </c>
      <c r="B395" s="4" t="s">
        <v>92</v>
      </c>
      <c r="C395" s="2">
        <v>11414.206531</v>
      </c>
      <c r="D395" s="14">
        <v>6047.5016729999998</v>
      </c>
    </row>
    <row r="396" spans="1:4" s="1" customFormat="1" ht="19.75" customHeight="1" x14ac:dyDescent="0.25">
      <c r="A396" s="9">
        <f>2021</f>
        <v>2021</v>
      </c>
      <c r="B396" s="4" t="s">
        <v>122</v>
      </c>
      <c r="C396" s="5">
        <v>8587.5967920000003</v>
      </c>
      <c r="D396" s="13">
        <v>7093.2832550000003</v>
      </c>
    </row>
    <row r="397" spans="1:4" s="1" customFormat="1" ht="19.75" customHeight="1" x14ac:dyDescent="0.25">
      <c r="A397" s="9">
        <f>2021</f>
        <v>2021</v>
      </c>
      <c r="B397" s="4" t="s">
        <v>46</v>
      </c>
      <c r="C397" s="2">
        <v>15471.903399999999</v>
      </c>
      <c r="D397" s="14">
        <v>8359.8317999999999</v>
      </c>
    </row>
    <row r="398" spans="1:4" s="1" customFormat="1" ht="19.75" customHeight="1" x14ac:dyDescent="0.25">
      <c r="A398" s="9">
        <f>2021</f>
        <v>2021</v>
      </c>
      <c r="B398" s="4" t="s">
        <v>44</v>
      </c>
      <c r="C398" s="5">
        <v>4340.3083999999999</v>
      </c>
      <c r="D398" s="13">
        <v>2878.5405000000001</v>
      </c>
    </row>
    <row r="399" spans="1:4" s="1" customFormat="1" ht="19.75" customHeight="1" x14ac:dyDescent="0.25">
      <c r="A399" s="9">
        <f>2021</f>
        <v>2021</v>
      </c>
      <c r="B399" s="4" t="s">
        <v>43</v>
      </c>
      <c r="C399" s="2">
        <v>4049.2267999999999</v>
      </c>
      <c r="D399" s="14">
        <v>1679.1090999999999</v>
      </c>
    </row>
    <row r="400" spans="1:4" s="1" customFormat="1" ht="19.75" customHeight="1" x14ac:dyDescent="0.25">
      <c r="A400" s="9">
        <f>2021</f>
        <v>2021</v>
      </c>
      <c r="B400" s="4" t="s">
        <v>42</v>
      </c>
      <c r="C400" s="5">
        <v>3110.9126000000001</v>
      </c>
      <c r="D400" s="13">
        <v>1986.8312000000001</v>
      </c>
    </row>
    <row r="401" spans="1:4" s="1" customFormat="1" ht="19.75" customHeight="1" x14ac:dyDescent="0.25">
      <c r="A401" s="9">
        <f>2021</f>
        <v>2021</v>
      </c>
      <c r="B401" s="4" t="s">
        <v>41</v>
      </c>
      <c r="C401" s="2">
        <v>11500.620741000001</v>
      </c>
      <c r="D401" s="14">
        <v>8584.1380000000008</v>
      </c>
    </row>
    <row r="402" spans="1:4" s="1" customFormat="1" ht="19.75" customHeight="1" x14ac:dyDescent="0.25">
      <c r="A402" s="9">
        <f>2021</f>
        <v>2021</v>
      </c>
      <c r="B402" s="4" t="s">
        <v>38</v>
      </c>
      <c r="C402" s="5">
        <v>362.15280000000001</v>
      </c>
      <c r="D402" s="13">
        <v>161.80070000000001</v>
      </c>
    </row>
    <row r="403" spans="1:4" s="1" customFormat="1" ht="19.75" customHeight="1" x14ac:dyDescent="0.25">
      <c r="A403" s="9">
        <f>2021</f>
        <v>2021</v>
      </c>
      <c r="B403" s="4" t="s">
        <v>37</v>
      </c>
      <c r="C403" s="2">
        <v>4541.4534999999996</v>
      </c>
      <c r="D403" s="14">
        <v>2754.5857000000001</v>
      </c>
    </row>
    <row r="404" spans="1:4" s="1" customFormat="1" ht="19.75" customHeight="1" x14ac:dyDescent="0.25">
      <c r="A404" s="9">
        <f>2021</f>
        <v>2021</v>
      </c>
      <c r="B404" s="4" t="s">
        <v>34</v>
      </c>
      <c r="C404" s="5">
        <v>4898.5370000000003</v>
      </c>
      <c r="D404" s="13">
        <v>1974.4731999999999</v>
      </c>
    </row>
    <row r="405" spans="1:4" s="1" customFormat="1" ht="19.75" customHeight="1" x14ac:dyDescent="0.25">
      <c r="A405" s="9">
        <f>2021</f>
        <v>2021</v>
      </c>
      <c r="B405" s="4" t="s">
        <v>33</v>
      </c>
      <c r="C405" s="2">
        <v>2071.5248000000001</v>
      </c>
      <c r="D405" s="14">
        <v>979.65309999999999</v>
      </c>
    </row>
    <row r="406" spans="1:4" s="1" customFormat="1" ht="19.75" customHeight="1" x14ac:dyDescent="0.25">
      <c r="A406" s="9">
        <f>2021</f>
        <v>2021</v>
      </c>
      <c r="B406" s="4" t="s">
        <v>31</v>
      </c>
      <c r="C406" s="5">
        <v>12613.233700000001</v>
      </c>
      <c r="D406" s="13">
        <v>5792.0151999999998</v>
      </c>
    </row>
    <row r="407" spans="1:4" s="1" customFormat="1" ht="19.75" customHeight="1" x14ac:dyDescent="0.25">
      <c r="A407" s="9">
        <f>2021</f>
        <v>2021</v>
      </c>
      <c r="B407" s="4" t="s">
        <v>30</v>
      </c>
      <c r="C407" s="2">
        <v>0.97847799999999996</v>
      </c>
      <c r="D407" s="14">
        <v>15.091937</v>
      </c>
    </row>
    <row r="408" spans="1:4" s="1" customFormat="1" ht="19.75" customHeight="1" x14ac:dyDescent="0.25">
      <c r="A408" s="9">
        <f>2021</f>
        <v>2021</v>
      </c>
      <c r="B408" s="4" t="s">
        <v>29</v>
      </c>
      <c r="C408" s="12"/>
      <c r="D408" s="13">
        <v>2.9009</v>
      </c>
    </row>
    <row r="409" spans="1:4" s="1" customFormat="1" ht="19.75" customHeight="1" x14ac:dyDescent="0.25">
      <c r="A409" s="9">
        <f>2021</f>
        <v>2021</v>
      </c>
      <c r="B409" s="4" t="s">
        <v>91</v>
      </c>
      <c r="C409" s="2">
        <v>103.22580000000001</v>
      </c>
      <c r="D409" s="14">
        <v>1257.6262999999999</v>
      </c>
    </row>
    <row r="410" spans="1:4" s="1" customFormat="1" ht="19.75" customHeight="1" x14ac:dyDescent="0.25">
      <c r="A410" s="9">
        <f>2021</f>
        <v>2021</v>
      </c>
      <c r="B410" s="4" t="s">
        <v>103</v>
      </c>
      <c r="C410" s="5">
        <v>119.2286</v>
      </c>
      <c r="D410" s="13">
        <v>135.68119999999999</v>
      </c>
    </row>
    <row r="411" spans="1:4" s="1" customFormat="1" ht="19.75" customHeight="1" x14ac:dyDescent="0.25">
      <c r="A411" s="9">
        <f>2021</f>
        <v>2021</v>
      </c>
      <c r="B411" s="4" t="s">
        <v>27</v>
      </c>
      <c r="C411" s="2">
        <v>649.88019999999995</v>
      </c>
      <c r="D411" s="14">
        <v>842.63530000000003</v>
      </c>
    </row>
    <row r="412" spans="1:4" s="1" customFormat="1" ht="19.75" customHeight="1" x14ac:dyDescent="0.25">
      <c r="A412" s="9">
        <f>2021</f>
        <v>2021</v>
      </c>
      <c r="B412" s="4" t="s">
        <v>26</v>
      </c>
      <c r="C412" s="5">
        <v>121.4525</v>
      </c>
      <c r="D412" s="13">
        <v>38.814100000000003</v>
      </c>
    </row>
    <row r="413" spans="1:4" s="1" customFormat="1" ht="19.75" customHeight="1" x14ac:dyDescent="0.25">
      <c r="A413" s="9">
        <f>2021</f>
        <v>2021</v>
      </c>
      <c r="B413" s="4" t="s">
        <v>25</v>
      </c>
      <c r="C413" s="2">
        <v>12.5626</v>
      </c>
      <c r="D413" s="14">
        <v>8.4914000000000005</v>
      </c>
    </row>
    <row r="414" spans="1:4" s="1" customFormat="1" ht="19.75" customHeight="1" x14ac:dyDescent="0.25">
      <c r="A414" s="9">
        <f>2021</f>
        <v>2021</v>
      </c>
      <c r="B414" s="4" t="s">
        <v>128</v>
      </c>
      <c r="C414" s="5">
        <v>2.2545999999999999</v>
      </c>
      <c r="D414" s="13">
        <v>38.5762</v>
      </c>
    </row>
    <row r="415" spans="1:4" s="1" customFormat="1" ht="19.75" customHeight="1" x14ac:dyDescent="0.25">
      <c r="A415" s="9">
        <f>2021</f>
        <v>2021</v>
      </c>
      <c r="B415" s="4" t="s">
        <v>24</v>
      </c>
      <c r="C415" s="2">
        <v>108.0812</v>
      </c>
      <c r="D415" s="14">
        <v>104.6627</v>
      </c>
    </row>
    <row r="416" spans="1:4" s="1" customFormat="1" ht="19.75" customHeight="1" x14ac:dyDescent="0.25">
      <c r="A416" s="9">
        <f>2021</f>
        <v>2021</v>
      </c>
      <c r="B416" s="4" t="s">
        <v>23</v>
      </c>
      <c r="C416" s="5">
        <v>332.89249999999998</v>
      </c>
      <c r="D416" s="13">
        <v>527.89120000000003</v>
      </c>
    </row>
    <row r="417" spans="1:4" s="1" customFormat="1" ht="19.75" customHeight="1" x14ac:dyDescent="0.25">
      <c r="A417" s="9">
        <f>2021</f>
        <v>2021</v>
      </c>
      <c r="B417" s="4" t="s">
        <v>22</v>
      </c>
      <c r="C417" s="2">
        <v>669.86659999999995</v>
      </c>
      <c r="D417" s="14">
        <v>633.16420000000005</v>
      </c>
    </row>
    <row r="418" spans="1:4" s="1" customFormat="1" ht="19.75" customHeight="1" x14ac:dyDescent="0.25">
      <c r="A418" s="9">
        <f>2021</f>
        <v>2021</v>
      </c>
      <c r="B418" s="4" t="s">
        <v>21</v>
      </c>
      <c r="C418" s="5">
        <v>3310.2019810000002</v>
      </c>
      <c r="D418" s="13">
        <v>4261.8337410000004</v>
      </c>
    </row>
    <row r="419" spans="1:4" s="1" customFormat="1" ht="19.75" customHeight="1" x14ac:dyDescent="0.25">
      <c r="A419" s="9">
        <f>2021</f>
        <v>2021</v>
      </c>
      <c r="B419" s="4" t="s">
        <v>102</v>
      </c>
      <c r="C419" s="2">
        <v>138.20830000000001</v>
      </c>
      <c r="D419" s="14">
        <v>113.6356</v>
      </c>
    </row>
    <row r="420" spans="1:4" s="1" customFormat="1" ht="19.75" customHeight="1" x14ac:dyDescent="0.25">
      <c r="A420" s="9">
        <f>2021</f>
        <v>2021</v>
      </c>
      <c r="B420" s="4" t="s">
        <v>20</v>
      </c>
      <c r="C420" s="5">
        <v>228.393721</v>
      </c>
      <c r="D420" s="13">
        <v>174.142123</v>
      </c>
    </row>
    <row r="421" spans="1:4" s="1" customFormat="1" ht="19.75" customHeight="1" x14ac:dyDescent="0.25">
      <c r="A421" s="9">
        <f>2021</f>
        <v>2021</v>
      </c>
      <c r="B421" s="4" t="s">
        <v>101</v>
      </c>
      <c r="C421" s="2">
        <v>254.12520000000001</v>
      </c>
      <c r="D421" s="14">
        <v>77.657799999999995</v>
      </c>
    </row>
    <row r="422" spans="1:4" s="1" customFormat="1" ht="19.75" customHeight="1" x14ac:dyDescent="0.25">
      <c r="A422" s="9">
        <f>2021</f>
        <v>2021</v>
      </c>
      <c r="B422" s="4" t="s">
        <v>19</v>
      </c>
      <c r="C422" s="5">
        <v>50.746000000000002</v>
      </c>
      <c r="D422" s="13">
        <v>47.997100000000003</v>
      </c>
    </row>
    <row r="423" spans="1:4" s="1" customFormat="1" ht="19.75" customHeight="1" x14ac:dyDescent="0.25">
      <c r="A423" s="9">
        <f>2021</f>
        <v>2021</v>
      </c>
      <c r="B423" s="4" t="s">
        <v>18</v>
      </c>
      <c r="C423" s="2">
        <v>1795.8506</v>
      </c>
      <c r="D423" s="14">
        <v>1719.0654</v>
      </c>
    </row>
    <row r="424" spans="1:4" s="1" customFormat="1" ht="19.75" customHeight="1" x14ac:dyDescent="0.25">
      <c r="A424" s="9">
        <f>2021</f>
        <v>2021</v>
      </c>
      <c r="B424" s="4" t="s">
        <v>17</v>
      </c>
      <c r="C424" s="5">
        <v>2214.0826999999999</v>
      </c>
      <c r="D424" s="13">
        <v>2306.087</v>
      </c>
    </row>
    <row r="425" spans="1:4" s="1" customFormat="1" ht="19.75" customHeight="1" x14ac:dyDescent="0.25">
      <c r="A425" s="9">
        <f>2021</f>
        <v>2021</v>
      </c>
      <c r="B425" s="4" t="s">
        <v>107</v>
      </c>
      <c r="C425" s="2">
        <v>59.999400000000001</v>
      </c>
      <c r="D425" s="14">
        <v>43.156700000000001</v>
      </c>
    </row>
    <row r="426" spans="1:4" s="1" customFormat="1" ht="19.75" customHeight="1" x14ac:dyDescent="0.25">
      <c r="A426" s="9">
        <f>2021</f>
        <v>2021</v>
      </c>
      <c r="B426" s="4" t="s">
        <v>120</v>
      </c>
      <c r="C426" s="5">
        <v>52.5306</v>
      </c>
      <c r="D426" s="13">
        <v>70.546999999999997</v>
      </c>
    </row>
    <row r="427" spans="1:4" s="1" customFormat="1" ht="19.75" customHeight="1" x14ac:dyDescent="0.25">
      <c r="A427" s="9">
        <f>2021</f>
        <v>2021</v>
      </c>
      <c r="B427" s="4" t="s">
        <v>110</v>
      </c>
      <c r="C427" s="2">
        <v>120.02589999999999</v>
      </c>
      <c r="D427" s="14">
        <v>85.027600000000007</v>
      </c>
    </row>
    <row r="428" spans="1:4" s="1" customFormat="1" ht="19.75" customHeight="1" x14ac:dyDescent="0.25">
      <c r="A428" s="9">
        <f>2021</f>
        <v>2021</v>
      </c>
      <c r="B428" s="4" t="s">
        <v>94</v>
      </c>
      <c r="C428" s="5">
        <v>30.172799999999999</v>
      </c>
      <c r="D428" s="13">
        <v>72.109399999999994</v>
      </c>
    </row>
    <row r="429" spans="1:4" s="1" customFormat="1" ht="19.75" customHeight="1" x14ac:dyDescent="0.25">
      <c r="A429" s="9">
        <f>2021</f>
        <v>2021</v>
      </c>
      <c r="B429" s="4" t="s">
        <v>16</v>
      </c>
      <c r="C429" s="2">
        <v>3825.3618999999999</v>
      </c>
      <c r="D429" s="14">
        <v>3951.9654999999998</v>
      </c>
    </row>
    <row r="430" spans="1:4" s="1" customFormat="1" ht="19.75" customHeight="1" x14ac:dyDescent="0.25">
      <c r="A430" s="9">
        <f>2021</f>
        <v>2021</v>
      </c>
      <c r="B430" s="4" t="s">
        <v>100</v>
      </c>
      <c r="C430" s="5">
        <v>95.902799999999999</v>
      </c>
      <c r="D430" s="13">
        <v>47.360900000000001</v>
      </c>
    </row>
    <row r="431" spans="1:4" s="1" customFormat="1" ht="19.75" customHeight="1" x14ac:dyDescent="0.25">
      <c r="A431" s="9">
        <f>2021</f>
        <v>2021</v>
      </c>
      <c r="B431" s="4" t="s">
        <v>109</v>
      </c>
      <c r="C431" s="2">
        <v>3.5188999999999999</v>
      </c>
      <c r="D431" s="14">
        <v>13.294499999999999</v>
      </c>
    </row>
    <row r="432" spans="1:4" s="1" customFormat="1" ht="19.75" customHeight="1" x14ac:dyDescent="0.25">
      <c r="A432" s="9">
        <f>2021</f>
        <v>2021</v>
      </c>
      <c r="B432" s="4" t="s">
        <v>13</v>
      </c>
      <c r="C432" s="5">
        <v>604.82249999999999</v>
      </c>
      <c r="D432" s="13">
        <v>617.47860000000003</v>
      </c>
    </row>
    <row r="433" spans="1:4" s="1" customFormat="1" ht="19.75" customHeight="1" x14ac:dyDescent="0.25">
      <c r="A433" s="9">
        <f>2021</f>
        <v>2021</v>
      </c>
      <c r="B433" s="4" t="s">
        <v>90</v>
      </c>
      <c r="C433" s="15"/>
      <c r="D433" s="14">
        <v>8.1860060000000008</v>
      </c>
    </row>
    <row r="434" spans="1:4" s="1" customFormat="1" ht="19.75" customHeight="1" x14ac:dyDescent="0.25">
      <c r="A434" s="9">
        <f>2021</f>
        <v>2021</v>
      </c>
      <c r="B434" s="4" t="s">
        <v>108</v>
      </c>
      <c r="C434" s="5">
        <v>34.744999999999997</v>
      </c>
      <c r="D434" s="13">
        <v>33.748199999999997</v>
      </c>
    </row>
    <row r="435" spans="1:4" s="1" customFormat="1" ht="19.75" customHeight="1" x14ac:dyDescent="0.25">
      <c r="A435" s="9">
        <f>2021</f>
        <v>2021</v>
      </c>
      <c r="B435" s="4" t="s">
        <v>127</v>
      </c>
      <c r="C435" s="2">
        <v>24.3215</v>
      </c>
      <c r="D435" s="14">
        <v>23.188400000000001</v>
      </c>
    </row>
    <row r="436" spans="1:4" s="1" customFormat="1" ht="19.75" customHeight="1" x14ac:dyDescent="0.25">
      <c r="A436" s="9">
        <f>2021</f>
        <v>2021</v>
      </c>
      <c r="B436" s="4" t="s">
        <v>11</v>
      </c>
      <c r="C436" s="5">
        <v>9.3725000000000005</v>
      </c>
      <c r="D436" s="13">
        <v>7.4023000000000003</v>
      </c>
    </row>
    <row r="437" spans="1:4" s="1" customFormat="1" ht="19.75" customHeight="1" x14ac:dyDescent="0.25">
      <c r="A437" s="9">
        <f>2021</f>
        <v>2021</v>
      </c>
      <c r="B437" s="4" t="s">
        <v>10</v>
      </c>
      <c r="C437" s="2">
        <v>7.3608000000000002</v>
      </c>
      <c r="D437" s="14">
        <v>27.2791</v>
      </c>
    </row>
    <row r="438" spans="1:4" s="1" customFormat="1" ht="19.75" customHeight="1" x14ac:dyDescent="0.25">
      <c r="A438" s="9">
        <f>2021</f>
        <v>2021</v>
      </c>
      <c r="B438" s="4" t="s">
        <v>9</v>
      </c>
      <c r="C438" s="5">
        <v>405.9033</v>
      </c>
      <c r="D438" s="13">
        <v>309.21379999999999</v>
      </c>
    </row>
    <row r="439" spans="1:4" s="1" customFormat="1" ht="19.75" customHeight="1" x14ac:dyDescent="0.25">
      <c r="A439" s="9">
        <f>2021</f>
        <v>2021</v>
      </c>
      <c r="B439" s="4" t="s">
        <v>8</v>
      </c>
      <c r="C439" s="2">
        <v>648.89250000000004</v>
      </c>
      <c r="D439" s="14">
        <v>379.25259999999997</v>
      </c>
    </row>
    <row r="440" spans="1:4" s="1" customFormat="1" ht="19.75" customHeight="1" x14ac:dyDescent="0.25">
      <c r="A440" s="9">
        <f>2021</f>
        <v>2021</v>
      </c>
      <c r="B440" s="4" t="s">
        <v>7</v>
      </c>
      <c r="C440" s="5">
        <v>0.243452</v>
      </c>
      <c r="D440" s="13">
        <v>17.617128000000001</v>
      </c>
    </row>
    <row r="441" spans="1:4" s="1" customFormat="1" ht="19.75" customHeight="1" x14ac:dyDescent="0.25">
      <c r="A441" s="9">
        <f>2021</f>
        <v>2021</v>
      </c>
      <c r="B441" s="4" t="s">
        <v>119</v>
      </c>
      <c r="C441" s="2">
        <v>29.142700000000001</v>
      </c>
      <c r="D441" s="14">
        <v>30.472999999999999</v>
      </c>
    </row>
    <row r="442" spans="1:4" s="1" customFormat="1" ht="19.75" customHeight="1" x14ac:dyDescent="0.25">
      <c r="A442" s="9">
        <f>2021</f>
        <v>2021</v>
      </c>
      <c r="B442" s="4" t="s">
        <v>98</v>
      </c>
      <c r="C442" s="5">
        <v>0.78065300000000004</v>
      </c>
      <c r="D442" s="13">
        <v>34.171489000000001</v>
      </c>
    </row>
    <row r="443" spans="1:4" s="1" customFormat="1" ht="19.75" customHeight="1" x14ac:dyDescent="0.25">
      <c r="A443" s="9">
        <f>2021</f>
        <v>2021</v>
      </c>
      <c r="B443" s="4" t="s">
        <v>6</v>
      </c>
      <c r="C443" s="2">
        <v>155.0196</v>
      </c>
      <c r="D443" s="14">
        <v>126.78360000000001</v>
      </c>
    </row>
    <row r="444" spans="1:4" s="1" customFormat="1" ht="19.75" customHeight="1" x14ac:dyDescent="0.25">
      <c r="A444" s="9">
        <f>2021</f>
        <v>2021</v>
      </c>
      <c r="B444" s="4" t="s">
        <v>5</v>
      </c>
      <c r="C444" s="5">
        <v>342.28230000000002</v>
      </c>
      <c r="D444" s="13">
        <v>135.37090000000001</v>
      </c>
    </row>
    <row r="445" spans="1:4" s="1" customFormat="1" ht="19.75" customHeight="1" x14ac:dyDescent="0.25">
      <c r="A445" s="9">
        <f>2021</f>
        <v>2021</v>
      </c>
      <c r="B445" s="4" t="s">
        <v>4</v>
      </c>
      <c r="C445" s="2">
        <v>92.673599999999993</v>
      </c>
      <c r="D445" s="14">
        <v>125.2958</v>
      </c>
    </row>
    <row r="446" spans="1:4" s="1" customFormat="1" ht="19.75" customHeight="1" x14ac:dyDescent="0.25">
      <c r="A446" s="9">
        <f>2021</f>
        <v>2021</v>
      </c>
      <c r="B446" s="4" t="s">
        <v>3</v>
      </c>
      <c r="C446" s="5">
        <v>2.0880000000000001</v>
      </c>
      <c r="D446" s="13">
        <v>6.4345999999999997</v>
      </c>
    </row>
    <row r="447" spans="1:4" s="1" customFormat="1" ht="19.75" customHeight="1" x14ac:dyDescent="0.25">
      <c r="A447" s="9">
        <f>2021</f>
        <v>2021</v>
      </c>
      <c r="B447" s="4" t="s">
        <v>2</v>
      </c>
      <c r="C447" s="2">
        <v>4136.7915999999996</v>
      </c>
      <c r="D447" s="14">
        <v>3486.5279860000001</v>
      </c>
    </row>
    <row r="448" spans="1:4" s="1" customFormat="1" ht="19.75" customHeight="1" x14ac:dyDescent="0.25">
      <c r="A448" s="9">
        <f>2021</f>
        <v>2021</v>
      </c>
      <c r="B448" s="4" t="s">
        <v>105</v>
      </c>
      <c r="C448" s="5">
        <v>606.51698399999998</v>
      </c>
      <c r="D448" s="13">
        <v>205.569491</v>
      </c>
    </row>
    <row r="449" spans="1:4" s="1" customFormat="1" ht="19.75" customHeight="1" x14ac:dyDescent="0.25">
      <c r="A449" s="9">
        <f>2021</f>
        <v>2021</v>
      </c>
      <c r="B449" s="4" t="s">
        <v>93</v>
      </c>
      <c r="C449" s="2">
        <v>10.5402</v>
      </c>
      <c r="D449" s="14">
        <v>87.123699999999999</v>
      </c>
    </row>
    <row r="450" spans="1:4" s="1" customFormat="1" ht="19.75" customHeight="1" x14ac:dyDescent="0.25">
      <c r="A450" s="9">
        <f>2021</f>
        <v>2021</v>
      </c>
      <c r="B450" s="4" t="s">
        <v>95</v>
      </c>
      <c r="C450" s="5">
        <v>33.695500000000003</v>
      </c>
      <c r="D450" s="13">
        <v>26.456099999999999</v>
      </c>
    </row>
    <row r="451" spans="1:4" s="1" customFormat="1" ht="19.75" customHeight="1" x14ac:dyDescent="0.25">
      <c r="A451" s="9">
        <f>2021</f>
        <v>2021</v>
      </c>
      <c r="B451" s="4" t="s">
        <v>97</v>
      </c>
      <c r="C451" s="2">
        <v>115.27168500000001</v>
      </c>
      <c r="D451" s="14">
        <v>56.527132000000002</v>
      </c>
    </row>
    <row r="452" spans="1:4" s="1" customFormat="1" ht="19.75" customHeight="1" x14ac:dyDescent="0.25">
      <c r="A452" s="9">
        <f>2021</f>
        <v>2021</v>
      </c>
      <c r="B452" s="4" t="s">
        <v>118</v>
      </c>
      <c r="C452" s="5">
        <v>2584.609747</v>
      </c>
      <c r="D452" s="13">
        <v>1658.4252220000001</v>
      </c>
    </row>
    <row r="453" spans="1:4" s="1" customFormat="1" ht="19.75" customHeight="1" x14ac:dyDescent="0.25">
      <c r="A453" s="9">
        <f>2021</f>
        <v>2021</v>
      </c>
      <c r="B453" s="4" t="s">
        <v>114</v>
      </c>
      <c r="C453" s="2">
        <v>312.82780000000002</v>
      </c>
      <c r="D453" s="14">
        <v>172.9589</v>
      </c>
    </row>
    <row r="454" spans="1:4" s="1" customFormat="1" ht="19.75" customHeight="1" x14ac:dyDescent="0.25">
      <c r="A454" s="9">
        <f>2021</f>
        <v>2021</v>
      </c>
      <c r="B454" s="4" t="s">
        <v>113</v>
      </c>
      <c r="C454" s="5">
        <v>1396.4529</v>
      </c>
      <c r="D454" s="13">
        <v>1329.4286</v>
      </c>
    </row>
    <row r="455" spans="1:4" s="1" customFormat="1" ht="19.75" customHeight="1" x14ac:dyDescent="0.25">
      <c r="A455" s="9">
        <f>2021</f>
        <v>2021</v>
      </c>
      <c r="B455" s="4" t="s">
        <v>121</v>
      </c>
      <c r="C455" s="2">
        <v>719.58209999999997</v>
      </c>
      <c r="D455" s="14">
        <v>631.85519999999997</v>
      </c>
    </row>
    <row r="456" spans="1:4" s="1" customFormat="1" ht="19.75" customHeight="1" x14ac:dyDescent="0.25">
      <c r="A456" s="9">
        <f>2021</f>
        <v>2021</v>
      </c>
      <c r="B456" s="4" t="s">
        <v>126</v>
      </c>
      <c r="C456" s="5">
        <v>550.042282</v>
      </c>
      <c r="D456" s="13">
        <v>463.28083600000002</v>
      </c>
    </row>
    <row r="457" spans="1:4" s="1" customFormat="1" ht="19.75" customHeight="1" x14ac:dyDescent="0.25">
      <c r="A457" s="9">
        <f>2021</f>
        <v>2021</v>
      </c>
      <c r="B457" s="4" t="s">
        <v>125</v>
      </c>
      <c r="C457" s="2">
        <v>1234.5784000000001</v>
      </c>
      <c r="D457" s="14">
        <v>1047.3113000000001</v>
      </c>
    </row>
    <row r="458" spans="1:4" s="1" customFormat="1" ht="19.75" customHeight="1" x14ac:dyDescent="0.25">
      <c r="A458" s="9">
        <f>2021</f>
        <v>2021</v>
      </c>
      <c r="B458" s="4" t="s">
        <v>124</v>
      </c>
      <c r="C458" s="5">
        <v>139.12119999999999</v>
      </c>
      <c r="D458" s="13">
        <v>141.98990000000001</v>
      </c>
    </row>
    <row r="459" spans="1:4" s="1" customFormat="1" ht="19.75" customHeight="1" x14ac:dyDescent="0.25">
      <c r="A459" s="9">
        <f>2021</f>
        <v>2021</v>
      </c>
      <c r="B459" s="4" t="s">
        <v>117</v>
      </c>
      <c r="C459" s="2">
        <v>365.65379999999999</v>
      </c>
      <c r="D459" s="14">
        <v>328.64060000000001</v>
      </c>
    </row>
    <row r="460" spans="1:4" s="1" customFormat="1" ht="19.75" customHeight="1" x14ac:dyDescent="0.25">
      <c r="A460" s="9">
        <f>2021</f>
        <v>2021</v>
      </c>
      <c r="B460" s="4" t="s">
        <v>116</v>
      </c>
      <c r="C460" s="5">
        <v>1077.514001</v>
      </c>
      <c r="D460" s="13">
        <v>1230.0770050000001</v>
      </c>
    </row>
    <row r="461" spans="1:4" s="1" customFormat="1" ht="19.75" customHeight="1" x14ac:dyDescent="0.25">
      <c r="A461" s="9">
        <f>2021</f>
        <v>2021</v>
      </c>
      <c r="B461" s="4" t="s">
        <v>115</v>
      </c>
      <c r="C461" s="2">
        <v>741.74069999999995</v>
      </c>
      <c r="D461" s="14">
        <v>545.05719999999997</v>
      </c>
    </row>
    <row r="462" spans="1:4" s="1" customFormat="1" ht="19.75" customHeight="1" x14ac:dyDescent="0.25">
      <c r="A462" s="9">
        <f>2021</f>
        <v>2021</v>
      </c>
      <c r="B462" s="4" t="s">
        <v>129</v>
      </c>
      <c r="C462" s="5">
        <v>9.5416000000000007</v>
      </c>
      <c r="D462" s="13">
        <v>756.98910000000001</v>
      </c>
    </row>
    <row r="463" spans="1:4" s="1" customFormat="1" ht="19.75" customHeight="1" x14ac:dyDescent="0.25">
      <c r="A463" s="9">
        <f>2021</f>
        <v>2021</v>
      </c>
      <c r="B463" s="4" t="s">
        <v>123</v>
      </c>
      <c r="C463" s="2">
        <v>45.908099999999997</v>
      </c>
      <c r="D463" s="14">
        <v>494.0231</v>
      </c>
    </row>
    <row r="464" spans="1:4" s="1" customFormat="1" ht="19.75" customHeight="1" x14ac:dyDescent="0.25">
      <c r="A464" s="9">
        <f>2020</f>
        <v>2020</v>
      </c>
      <c r="B464" s="4" t="s">
        <v>79</v>
      </c>
      <c r="C464" s="5">
        <v>11474.6162</v>
      </c>
      <c r="D464" s="13">
        <v>4818.5832</v>
      </c>
    </row>
    <row r="465" spans="1:4" s="1" customFormat="1" ht="19.75" customHeight="1" x14ac:dyDescent="0.25">
      <c r="A465" s="9">
        <f>2020</f>
        <v>2020</v>
      </c>
      <c r="B465" s="4" t="s">
        <v>78</v>
      </c>
      <c r="C465" s="2">
        <v>12795.488499999999</v>
      </c>
      <c r="D465" s="14">
        <v>4639.0375999999997</v>
      </c>
    </row>
    <row r="466" spans="1:4" s="1" customFormat="1" ht="19.75" customHeight="1" x14ac:dyDescent="0.25">
      <c r="A466" s="9">
        <f>2020</f>
        <v>2020</v>
      </c>
      <c r="B466" s="4" t="s">
        <v>77</v>
      </c>
      <c r="C466" s="5">
        <v>48532.369500000001</v>
      </c>
      <c r="D466" s="13">
        <v>18872.390899999999</v>
      </c>
    </row>
    <row r="467" spans="1:4" s="1" customFormat="1" ht="19.75" customHeight="1" x14ac:dyDescent="0.25">
      <c r="A467" s="9">
        <f>2020</f>
        <v>2020</v>
      </c>
      <c r="B467" s="4" t="s">
        <v>76</v>
      </c>
      <c r="C467" s="2">
        <v>27096.288400000001</v>
      </c>
      <c r="D467" s="14">
        <v>10451.401099999999</v>
      </c>
    </row>
    <row r="468" spans="1:4" s="1" customFormat="1" ht="19.75" customHeight="1" x14ac:dyDescent="0.25">
      <c r="A468" s="9">
        <f>2020</f>
        <v>2020</v>
      </c>
      <c r="B468" s="4" t="s">
        <v>75</v>
      </c>
      <c r="C468" s="5">
        <v>7216.6498000000001</v>
      </c>
      <c r="D468" s="13">
        <v>3080.9607000000001</v>
      </c>
    </row>
    <row r="469" spans="1:4" s="1" customFormat="1" ht="19.75" customHeight="1" x14ac:dyDescent="0.25">
      <c r="A469" s="9">
        <f>2020</f>
        <v>2020</v>
      </c>
      <c r="B469" s="4" t="s">
        <v>74</v>
      </c>
      <c r="C469" s="2">
        <v>35811.083400000003</v>
      </c>
      <c r="D469" s="14">
        <v>11577.2346</v>
      </c>
    </row>
    <row r="470" spans="1:4" s="1" customFormat="1" ht="19.75" customHeight="1" x14ac:dyDescent="0.25">
      <c r="A470" s="9">
        <f>2020</f>
        <v>2020</v>
      </c>
      <c r="B470" s="4" t="s">
        <v>73</v>
      </c>
      <c r="C470" s="5">
        <v>15933.619699999999</v>
      </c>
      <c r="D470" s="13">
        <v>6921.5209000000004</v>
      </c>
    </row>
    <row r="471" spans="1:4" s="1" customFormat="1" ht="19.75" customHeight="1" x14ac:dyDescent="0.25">
      <c r="A471" s="9">
        <f>2020</f>
        <v>2020</v>
      </c>
      <c r="B471" s="4" t="s">
        <v>72</v>
      </c>
      <c r="C471" s="2">
        <v>10942.095300000001</v>
      </c>
      <c r="D471" s="14">
        <v>5175.1916000000001</v>
      </c>
    </row>
    <row r="472" spans="1:4" s="1" customFormat="1" ht="19.75" customHeight="1" x14ac:dyDescent="0.25">
      <c r="A472" s="9">
        <f>2020</f>
        <v>2020</v>
      </c>
      <c r="B472" s="4" t="s">
        <v>69</v>
      </c>
      <c r="C472" s="5">
        <v>13798.553099999999</v>
      </c>
      <c r="D472" s="13">
        <v>4420.8392000000003</v>
      </c>
    </row>
    <row r="473" spans="1:4" s="1" customFormat="1" ht="19.75" customHeight="1" x14ac:dyDescent="0.25">
      <c r="A473" s="9">
        <f>2020</f>
        <v>2020</v>
      </c>
      <c r="B473" s="4" t="s">
        <v>68</v>
      </c>
      <c r="C473" s="2">
        <v>12103.276368999999</v>
      </c>
      <c r="D473" s="14">
        <v>5128.8341959999998</v>
      </c>
    </row>
    <row r="474" spans="1:4" s="1" customFormat="1" ht="19.75" customHeight="1" x14ac:dyDescent="0.25">
      <c r="A474" s="9">
        <f>2020</f>
        <v>2020</v>
      </c>
      <c r="B474" s="4" t="s">
        <v>67</v>
      </c>
      <c r="C474" s="5">
        <v>13577.350399999999</v>
      </c>
      <c r="D474" s="13">
        <v>5836.0150000000003</v>
      </c>
    </row>
    <row r="475" spans="1:4" s="1" customFormat="1" ht="19.75" customHeight="1" x14ac:dyDescent="0.25">
      <c r="A475" s="9">
        <f>2020</f>
        <v>2020</v>
      </c>
      <c r="B475" s="4" t="s">
        <v>66</v>
      </c>
      <c r="C475" s="2">
        <v>5871.9813000000004</v>
      </c>
      <c r="D475" s="14">
        <v>1858.0274999999999</v>
      </c>
    </row>
    <row r="476" spans="1:4" s="1" customFormat="1" ht="19.75" customHeight="1" x14ac:dyDescent="0.25">
      <c r="A476" s="9">
        <f>2020</f>
        <v>2020</v>
      </c>
      <c r="B476" s="4" t="s">
        <v>65</v>
      </c>
      <c r="C476" s="5">
        <v>36362.2425</v>
      </c>
      <c r="D476" s="13">
        <v>11973.3704</v>
      </c>
    </row>
    <row r="477" spans="1:4" s="1" customFormat="1" ht="19.75" customHeight="1" x14ac:dyDescent="0.25">
      <c r="A477" s="9">
        <f>2020</f>
        <v>2020</v>
      </c>
      <c r="B477" s="4" t="s">
        <v>85</v>
      </c>
      <c r="C477" s="2">
        <v>159238.76569999999</v>
      </c>
      <c r="D477" s="14">
        <v>75173.690199999997</v>
      </c>
    </row>
    <row r="478" spans="1:4" s="1" customFormat="1" ht="19.75" customHeight="1" x14ac:dyDescent="0.25">
      <c r="A478" s="9">
        <f>2020</f>
        <v>2020</v>
      </c>
      <c r="B478" s="4" t="s">
        <v>64</v>
      </c>
      <c r="C478" s="5">
        <v>14744.582200000001</v>
      </c>
      <c r="D478" s="13">
        <v>6744.7803000000004</v>
      </c>
    </row>
    <row r="479" spans="1:4" s="1" customFormat="1" ht="19.75" customHeight="1" x14ac:dyDescent="0.25">
      <c r="A479" s="9">
        <f>2020</f>
        <v>2020</v>
      </c>
      <c r="B479" s="4" t="s">
        <v>63</v>
      </c>
      <c r="C479" s="2">
        <v>10042.060100000001</v>
      </c>
      <c r="D479" s="14">
        <v>3127.8874999999998</v>
      </c>
    </row>
    <row r="480" spans="1:4" s="1" customFormat="1" ht="19.75" customHeight="1" x14ac:dyDescent="0.25">
      <c r="A480" s="9">
        <f>2020</f>
        <v>2020</v>
      </c>
      <c r="B480" s="4" t="s">
        <v>62</v>
      </c>
      <c r="C480" s="5">
        <v>25794.371599999999</v>
      </c>
      <c r="D480" s="13">
        <v>7516.4147000000003</v>
      </c>
    </row>
    <row r="481" spans="1:4" s="1" customFormat="1" ht="19.75" customHeight="1" x14ac:dyDescent="0.25">
      <c r="A481" s="9">
        <f>2020</f>
        <v>2020</v>
      </c>
      <c r="B481" s="4" t="s">
        <v>61</v>
      </c>
      <c r="C481" s="2">
        <v>6669.8775999999998</v>
      </c>
      <c r="D481" s="14">
        <v>5403.9949999999999</v>
      </c>
    </row>
    <row r="482" spans="1:4" s="1" customFormat="1" ht="19.75" customHeight="1" x14ac:dyDescent="0.25">
      <c r="A482" s="9">
        <f>2020</f>
        <v>2020</v>
      </c>
      <c r="B482" s="4" t="s">
        <v>59</v>
      </c>
      <c r="C482" s="5">
        <v>37428.953800000003</v>
      </c>
      <c r="D482" s="13">
        <v>17304.624299999999</v>
      </c>
    </row>
    <row r="483" spans="1:4" s="1" customFormat="1" ht="19.75" customHeight="1" x14ac:dyDescent="0.25">
      <c r="A483" s="9">
        <f>2020</f>
        <v>2020</v>
      </c>
      <c r="B483" s="4" t="s">
        <v>112</v>
      </c>
      <c r="C483" s="2">
        <v>4561.5790319999996</v>
      </c>
      <c r="D483" s="14">
        <v>2426.5421729999998</v>
      </c>
    </row>
    <row r="484" spans="1:4" s="1" customFormat="1" ht="19.75" customHeight="1" x14ac:dyDescent="0.25">
      <c r="A484" s="9">
        <f>2020</f>
        <v>2020</v>
      </c>
      <c r="B484" s="4" t="s">
        <v>54</v>
      </c>
      <c r="C484" s="5">
        <v>2493.4119000000001</v>
      </c>
      <c r="D484" s="13">
        <v>1013.7397</v>
      </c>
    </row>
    <row r="485" spans="1:4" s="1" customFormat="1" ht="19.75" customHeight="1" x14ac:dyDescent="0.25">
      <c r="A485" s="9">
        <f>2020</f>
        <v>2020</v>
      </c>
      <c r="B485" s="4" t="s">
        <v>53</v>
      </c>
      <c r="C485" s="2">
        <v>917.60029999999995</v>
      </c>
      <c r="D485" s="14">
        <v>533.3202</v>
      </c>
    </row>
    <row r="486" spans="1:4" s="1" customFormat="1" ht="19.75" customHeight="1" x14ac:dyDescent="0.25">
      <c r="A486" s="9">
        <f>2020</f>
        <v>2020</v>
      </c>
      <c r="B486" s="4" t="s">
        <v>52</v>
      </c>
      <c r="C486" s="5">
        <v>2271.7186000000002</v>
      </c>
      <c r="D486" s="13">
        <v>902.94449999999995</v>
      </c>
    </row>
    <row r="487" spans="1:4" s="1" customFormat="1" ht="19.75" customHeight="1" x14ac:dyDescent="0.25">
      <c r="A487" s="9">
        <f>2020</f>
        <v>2020</v>
      </c>
      <c r="B487" s="4" t="s">
        <v>51</v>
      </c>
      <c r="C487" s="2">
        <v>614.40880000000004</v>
      </c>
      <c r="D487" s="14">
        <v>324.05939999999998</v>
      </c>
    </row>
    <row r="488" spans="1:4" s="1" customFormat="1" ht="19.75" customHeight="1" x14ac:dyDescent="0.25">
      <c r="A488" s="9">
        <f>2020</f>
        <v>2020</v>
      </c>
      <c r="B488" s="4" t="s">
        <v>50</v>
      </c>
      <c r="C488" s="5">
        <v>8561.8493920000001</v>
      </c>
      <c r="D488" s="13">
        <v>3375.613222</v>
      </c>
    </row>
    <row r="489" spans="1:4" s="1" customFormat="1" ht="19.75" customHeight="1" x14ac:dyDescent="0.25">
      <c r="A489" s="9">
        <f>2020</f>
        <v>2020</v>
      </c>
      <c r="B489" s="4" t="s">
        <v>48</v>
      </c>
      <c r="C489" s="2">
        <v>58626.397900000004</v>
      </c>
      <c r="D489" s="14">
        <v>30697.528900000001</v>
      </c>
    </row>
    <row r="490" spans="1:4" s="1" customFormat="1" ht="19.75" customHeight="1" x14ac:dyDescent="0.25">
      <c r="A490" s="9">
        <f>2020</f>
        <v>2020</v>
      </c>
      <c r="B490" s="4" t="s">
        <v>47</v>
      </c>
      <c r="C490" s="5">
        <v>41531.251700000001</v>
      </c>
      <c r="D490" s="13">
        <v>21614.410899999999</v>
      </c>
    </row>
    <row r="491" spans="1:4" s="1" customFormat="1" ht="19.75" customHeight="1" x14ac:dyDescent="0.25">
      <c r="A491" s="9">
        <f>2020</f>
        <v>2020</v>
      </c>
      <c r="B491" s="4" t="s">
        <v>92</v>
      </c>
      <c r="C491" s="2">
        <v>13847.30414</v>
      </c>
      <c r="D491" s="14">
        <v>6336.1601799999999</v>
      </c>
    </row>
    <row r="492" spans="1:4" s="1" customFormat="1" ht="19.75" customHeight="1" x14ac:dyDescent="0.25">
      <c r="A492" s="9">
        <f>2020</f>
        <v>2020</v>
      </c>
      <c r="B492" s="4" t="s">
        <v>122</v>
      </c>
      <c r="C492" s="5">
        <v>10231.998921</v>
      </c>
      <c r="D492" s="13">
        <v>5860.9873479999997</v>
      </c>
    </row>
    <row r="493" spans="1:4" s="1" customFormat="1" ht="19.75" customHeight="1" x14ac:dyDescent="0.25">
      <c r="A493" s="9">
        <f>2020</f>
        <v>2020</v>
      </c>
      <c r="B493" s="4" t="s">
        <v>46</v>
      </c>
      <c r="C493" s="2">
        <v>16724.085599999999</v>
      </c>
      <c r="D493" s="14">
        <v>8237.3449999999993</v>
      </c>
    </row>
    <row r="494" spans="1:4" s="1" customFormat="1" ht="19.75" customHeight="1" x14ac:dyDescent="0.25">
      <c r="A494" s="9">
        <f>2020</f>
        <v>2020</v>
      </c>
      <c r="B494" s="4" t="s">
        <v>44</v>
      </c>
      <c r="C494" s="5">
        <v>4739.6212999999998</v>
      </c>
      <c r="D494" s="13">
        <v>2727.5437000000002</v>
      </c>
    </row>
    <row r="495" spans="1:4" s="1" customFormat="1" ht="19.75" customHeight="1" x14ac:dyDescent="0.25">
      <c r="A495" s="9">
        <f>2020</f>
        <v>2020</v>
      </c>
      <c r="B495" s="4" t="s">
        <v>43</v>
      </c>
      <c r="C495" s="2">
        <v>4444.4124000000002</v>
      </c>
      <c r="D495" s="14">
        <v>1635.2175999999999</v>
      </c>
    </row>
    <row r="496" spans="1:4" s="1" customFormat="1" ht="19.75" customHeight="1" x14ac:dyDescent="0.25">
      <c r="A496" s="9">
        <f>2020</f>
        <v>2020</v>
      </c>
      <c r="B496" s="4" t="s">
        <v>42</v>
      </c>
      <c r="C496" s="5">
        <v>3642.0443230000001</v>
      </c>
      <c r="D496" s="13">
        <v>1741.710994</v>
      </c>
    </row>
    <row r="497" spans="1:4" s="1" customFormat="1" ht="19.75" customHeight="1" x14ac:dyDescent="0.25">
      <c r="A497" s="9">
        <f>2020</f>
        <v>2020</v>
      </c>
      <c r="B497" s="4" t="s">
        <v>41</v>
      </c>
      <c r="C497" s="2">
        <v>13429.9488</v>
      </c>
      <c r="D497" s="14">
        <v>8850.9359980000008</v>
      </c>
    </row>
    <row r="498" spans="1:4" s="1" customFormat="1" ht="19.75" customHeight="1" x14ac:dyDescent="0.25">
      <c r="A498" s="9">
        <f>2020</f>
        <v>2020</v>
      </c>
      <c r="B498" s="4" t="s">
        <v>40</v>
      </c>
      <c r="C498" s="5">
        <v>1778.9629</v>
      </c>
      <c r="D498" s="13">
        <v>794.52350000000001</v>
      </c>
    </row>
    <row r="499" spans="1:4" s="1" customFormat="1" ht="19.75" customHeight="1" x14ac:dyDescent="0.25">
      <c r="A499" s="9">
        <f>2020</f>
        <v>2020</v>
      </c>
      <c r="B499" s="4" t="s">
        <v>38</v>
      </c>
      <c r="C499" s="2">
        <v>453.03</v>
      </c>
      <c r="D499" s="14">
        <v>162.4323</v>
      </c>
    </row>
    <row r="500" spans="1:4" s="1" customFormat="1" ht="19.75" customHeight="1" x14ac:dyDescent="0.25">
      <c r="A500" s="9">
        <f>2020</f>
        <v>2020</v>
      </c>
      <c r="B500" s="4" t="s">
        <v>37</v>
      </c>
      <c r="C500" s="5">
        <v>4884.7380000000003</v>
      </c>
      <c r="D500" s="13">
        <v>2825.5619999999999</v>
      </c>
    </row>
    <row r="501" spans="1:4" s="1" customFormat="1" ht="19.75" customHeight="1" x14ac:dyDescent="0.25">
      <c r="A501" s="9">
        <f>2020</f>
        <v>2020</v>
      </c>
      <c r="B501" s="4" t="s">
        <v>34</v>
      </c>
      <c r="C501" s="2">
        <v>5446.2991000000002</v>
      </c>
      <c r="D501" s="14">
        <v>1717.6138000000001</v>
      </c>
    </row>
    <row r="502" spans="1:4" s="1" customFormat="1" ht="19.75" customHeight="1" x14ac:dyDescent="0.25">
      <c r="A502" s="9">
        <f>2020</f>
        <v>2020</v>
      </c>
      <c r="B502" s="4" t="s">
        <v>33</v>
      </c>
      <c r="C502" s="5">
        <v>2146.5922999999998</v>
      </c>
      <c r="D502" s="13">
        <v>850.91150000000005</v>
      </c>
    </row>
    <row r="503" spans="1:4" s="1" customFormat="1" ht="19.75" customHeight="1" x14ac:dyDescent="0.25">
      <c r="A503" s="9">
        <f>2020</f>
        <v>2020</v>
      </c>
      <c r="B503" s="4" t="s">
        <v>31</v>
      </c>
      <c r="C503" s="2">
        <v>19261.372500000001</v>
      </c>
      <c r="D503" s="14">
        <v>6729.2114000000001</v>
      </c>
    </row>
    <row r="504" spans="1:4" s="1" customFormat="1" ht="19.75" customHeight="1" x14ac:dyDescent="0.25">
      <c r="A504" s="9">
        <f>2020</f>
        <v>2020</v>
      </c>
      <c r="B504" s="4" t="s">
        <v>30</v>
      </c>
      <c r="C504" s="5">
        <v>1.3697999999999999</v>
      </c>
      <c r="D504" s="13">
        <v>25.851900000000001</v>
      </c>
    </row>
    <row r="505" spans="1:4" s="1" customFormat="1" ht="19.75" customHeight="1" x14ac:dyDescent="0.25">
      <c r="A505" s="9">
        <f>2020</f>
        <v>2020</v>
      </c>
      <c r="B505" s="4" t="s">
        <v>29</v>
      </c>
      <c r="C505" s="2">
        <v>62.692700000000002</v>
      </c>
      <c r="D505" s="14">
        <v>83.074700000000007</v>
      </c>
    </row>
    <row r="506" spans="1:4" s="1" customFormat="1" ht="19.75" customHeight="1" x14ac:dyDescent="0.25">
      <c r="A506" s="9">
        <f>2020</f>
        <v>2020</v>
      </c>
      <c r="B506" s="4" t="s">
        <v>91</v>
      </c>
      <c r="C506" s="5">
        <v>150.14869999999999</v>
      </c>
      <c r="D506" s="13">
        <v>1791.7836</v>
      </c>
    </row>
    <row r="507" spans="1:4" s="1" customFormat="1" ht="19.75" customHeight="1" x14ac:dyDescent="0.25">
      <c r="A507" s="9">
        <f>2020</f>
        <v>2020</v>
      </c>
      <c r="B507" s="4" t="s">
        <v>103</v>
      </c>
      <c r="C507" s="2">
        <v>211.89259999999999</v>
      </c>
      <c r="D507" s="14">
        <v>138.6618</v>
      </c>
    </row>
    <row r="508" spans="1:4" s="1" customFormat="1" ht="19.75" customHeight="1" x14ac:dyDescent="0.25">
      <c r="A508" s="9">
        <f>2020</f>
        <v>2020</v>
      </c>
      <c r="B508" s="4" t="s">
        <v>27</v>
      </c>
      <c r="C508" s="5">
        <v>1657.6406999999999</v>
      </c>
      <c r="D508" s="13">
        <v>794.75490000000002</v>
      </c>
    </row>
    <row r="509" spans="1:4" s="1" customFormat="1" ht="19.75" customHeight="1" x14ac:dyDescent="0.25">
      <c r="A509" s="9">
        <f>2020</f>
        <v>2020</v>
      </c>
      <c r="B509" s="4" t="s">
        <v>26</v>
      </c>
      <c r="C509" s="2">
        <v>135.47644700000001</v>
      </c>
      <c r="D509" s="14">
        <v>45.018459</v>
      </c>
    </row>
    <row r="510" spans="1:4" s="1" customFormat="1" ht="19.75" customHeight="1" x14ac:dyDescent="0.25">
      <c r="A510" s="9">
        <f>2020</f>
        <v>2020</v>
      </c>
      <c r="B510" s="4" t="s">
        <v>25</v>
      </c>
      <c r="C510" s="5">
        <v>12.226599999999999</v>
      </c>
      <c r="D510" s="13">
        <v>7.8361999999999998</v>
      </c>
    </row>
    <row r="511" spans="1:4" s="1" customFormat="1" ht="19.75" customHeight="1" x14ac:dyDescent="0.25">
      <c r="A511" s="9">
        <f>2020</f>
        <v>2020</v>
      </c>
      <c r="B511" s="4" t="s">
        <v>128</v>
      </c>
      <c r="C511" s="2">
        <v>0.17480000000000001</v>
      </c>
      <c r="D511" s="14">
        <v>33.777999999999999</v>
      </c>
    </row>
    <row r="512" spans="1:4" s="1" customFormat="1" ht="19.75" customHeight="1" x14ac:dyDescent="0.25">
      <c r="A512" s="9">
        <f>2020</f>
        <v>2020</v>
      </c>
      <c r="B512" s="4" t="s">
        <v>24</v>
      </c>
      <c r="C512" s="5">
        <v>177.29910000000001</v>
      </c>
      <c r="D512" s="13">
        <v>107.9631</v>
      </c>
    </row>
    <row r="513" spans="1:4" s="1" customFormat="1" ht="19.75" customHeight="1" x14ac:dyDescent="0.25">
      <c r="A513" s="9">
        <f>2020</f>
        <v>2020</v>
      </c>
      <c r="B513" s="4" t="s">
        <v>23</v>
      </c>
      <c r="C513" s="2">
        <v>735.10450000000003</v>
      </c>
      <c r="D513" s="14">
        <v>512.13879999999995</v>
      </c>
    </row>
    <row r="514" spans="1:4" s="1" customFormat="1" ht="19.75" customHeight="1" x14ac:dyDescent="0.25">
      <c r="A514" s="9">
        <f>2020</f>
        <v>2020</v>
      </c>
      <c r="B514" s="4" t="s">
        <v>22</v>
      </c>
      <c r="C514" s="5">
        <v>1301.0256999999999</v>
      </c>
      <c r="D514" s="13">
        <v>729.03240000000005</v>
      </c>
    </row>
    <row r="515" spans="1:4" s="1" customFormat="1" ht="19.75" customHeight="1" x14ac:dyDescent="0.25">
      <c r="A515" s="9">
        <f>2020</f>
        <v>2020</v>
      </c>
      <c r="B515" s="4" t="s">
        <v>21</v>
      </c>
      <c r="C515" s="2">
        <v>4385.5070260000002</v>
      </c>
      <c r="D515" s="14">
        <v>4218.1929209999998</v>
      </c>
    </row>
    <row r="516" spans="1:4" s="1" customFormat="1" ht="19.75" customHeight="1" x14ac:dyDescent="0.25">
      <c r="A516" s="9">
        <f>2020</f>
        <v>2020</v>
      </c>
      <c r="B516" s="4" t="s">
        <v>102</v>
      </c>
      <c r="C516" s="5">
        <v>253.47040000000001</v>
      </c>
      <c r="D516" s="13">
        <v>135.238</v>
      </c>
    </row>
    <row r="517" spans="1:4" s="1" customFormat="1" ht="19.75" customHeight="1" x14ac:dyDescent="0.25">
      <c r="A517" s="9">
        <f>2020</f>
        <v>2020</v>
      </c>
      <c r="B517" s="4" t="s">
        <v>20</v>
      </c>
      <c r="C517" s="2">
        <v>305.78216500000002</v>
      </c>
      <c r="D517" s="14">
        <v>159.56382199999999</v>
      </c>
    </row>
    <row r="518" spans="1:4" s="1" customFormat="1" ht="19.75" customHeight="1" x14ac:dyDescent="0.25">
      <c r="A518" s="9">
        <f>2020</f>
        <v>2020</v>
      </c>
      <c r="B518" s="4" t="s">
        <v>101</v>
      </c>
      <c r="C518" s="5">
        <v>174.34030000000001</v>
      </c>
      <c r="D518" s="13">
        <v>59.046599999999998</v>
      </c>
    </row>
    <row r="519" spans="1:4" s="1" customFormat="1" ht="19.75" customHeight="1" x14ac:dyDescent="0.25">
      <c r="A519" s="9">
        <f>2020</f>
        <v>2020</v>
      </c>
      <c r="B519" s="4" t="s">
        <v>19</v>
      </c>
      <c r="C519" s="2">
        <v>50.640500000000003</v>
      </c>
      <c r="D519" s="14">
        <v>49.043100000000003</v>
      </c>
    </row>
    <row r="520" spans="1:4" s="1" customFormat="1" ht="19.75" customHeight="1" x14ac:dyDescent="0.25">
      <c r="A520" s="9">
        <f>2020</f>
        <v>2020</v>
      </c>
      <c r="B520" s="4" t="s">
        <v>18</v>
      </c>
      <c r="C520" s="5">
        <v>2076.8696</v>
      </c>
      <c r="D520" s="13">
        <v>1242.3842999999999</v>
      </c>
    </row>
    <row r="521" spans="1:4" s="1" customFormat="1" ht="19.75" customHeight="1" x14ac:dyDescent="0.25">
      <c r="A521" s="9">
        <f>2020</f>
        <v>2020</v>
      </c>
      <c r="B521" s="4" t="s">
        <v>17</v>
      </c>
      <c r="C521" s="2">
        <v>2876.0907000000002</v>
      </c>
      <c r="D521" s="14">
        <v>1995.9023999999999</v>
      </c>
    </row>
    <row r="522" spans="1:4" s="1" customFormat="1" ht="19.75" customHeight="1" x14ac:dyDescent="0.25">
      <c r="A522" s="9">
        <f>2020</f>
        <v>2020</v>
      </c>
      <c r="B522" s="4" t="s">
        <v>107</v>
      </c>
      <c r="C522" s="5">
        <v>67.103300000000004</v>
      </c>
      <c r="D522" s="13">
        <v>44.085599999999999</v>
      </c>
    </row>
    <row r="523" spans="1:4" s="1" customFormat="1" ht="19.75" customHeight="1" x14ac:dyDescent="0.25">
      <c r="A523" s="9">
        <f>2020</f>
        <v>2020</v>
      </c>
      <c r="B523" s="4" t="s">
        <v>120</v>
      </c>
      <c r="C523" s="2">
        <v>60.819600000000001</v>
      </c>
      <c r="D523" s="14">
        <v>69.384500000000003</v>
      </c>
    </row>
    <row r="524" spans="1:4" s="1" customFormat="1" ht="19.75" customHeight="1" x14ac:dyDescent="0.25">
      <c r="A524" s="9">
        <f>2020</f>
        <v>2020</v>
      </c>
      <c r="B524" s="4" t="s">
        <v>110</v>
      </c>
      <c r="C524" s="5">
        <v>99.728700000000003</v>
      </c>
      <c r="D524" s="13">
        <v>78.039199999999994</v>
      </c>
    </row>
    <row r="525" spans="1:4" s="1" customFormat="1" ht="19.75" customHeight="1" x14ac:dyDescent="0.25">
      <c r="A525" s="9">
        <f>2020</f>
        <v>2020</v>
      </c>
      <c r="B525" s="4" t="s">
        <v>94</v>
      </c>
      <c r="C525" s="2">
        <v>78.546899999999994</v>
      </c>
      <c r="D525" s="14">
        <v>56.199100000000001</v>
      </c>
    </row>
    <row r="526" spans="1:4" s="1" customFormat="1" ht="19.75" customHeight="1" x14ac:dyDescent="0.25">
      <c r="A526" s="9">
        <f>2020</f>
        <v>2020</v>
      </c>
      <c r="B526" s="4" t="s">
        <v>16</v>
      </c>
      <c r="C526" s="5">
        <v>4609.3087999999998</v>
      </c>
      <c r="D526" s="13">
        <v>3525.3238000000001</v>
      </c>
    </row>
    <row r="527" spans="1:4" s="1" customFormat="1" ht="19.75" customHeight="1" x14ac:dyDescent="0.25">
      <c r="A527" s="9">
        <f>2020</f>
        <v>2020</v>
      </c>
      <c r="B527" s="4" t="s">
        <v>100</v>
      </c>
      <c r="C527" s="2">
        <v>145.41990000000001</v>
      </c>
      <c r="D527" s="14">
        <v>53.265300000000003</v>
      </c>
    </row>
    <row r="528" spans="1:4" s="1" customFormat="1" ht="19.75" customHeight="1" x14ac:dyDescent="0.25">
      <c r="A528" s="9">
        <f>2020</f>
        <v>2020</v>
      </c>
      <c r="B528" s="4" t="s">
        <v>109</v>
      </c>
      <c r="C528" s="5">
        <v>2.3273000000000001</v>
      </c>
      <c r="D528" s="13">
        <v>13.2934</v>
      </c>
    </row>
    <row r="529" spans="1:4" s="1" customFormat="1" ht="19.75" customHeight="1" x14ac:dyDescent="0.25">
      <c r="A529" s="9">
        <f>2020</f>
        <v>2020</v>
      </c>
      <c r="B529" s="4" t="s">
        <v>13</v>
      </c>
      <c r="C529" s="2">
        <v>697.42359999999996</v>
      </c>
      <c r="D529" s="14">
        <v>485.80889999999999</v>
      </c>
    </row>
    <row r="530" spans="1:4" s="1" customFormat="1" ht="19.75" customHeight="1" x14ac:dyDescent="0.25">
      <c r="A530" s="9">
        <f>2020</f>
        <v>2020</v>
      </c>
      <c r="B530" s="4" t="s">
        <v>90</v>
      </c>
      <c r="C530" s="12"/>
      <c r="D530" s="13">
        <v>7.4970039999999996</v>
      </c>
    </row>
    <row r="531" spans="1:4" s="1" customFormat="1" ht="19.75" customHeight="1" x14ac:dyDescent="0.25">
      <c r="A531" s="9">
        <f>2020</f>
        <v>2020</v>
      </c>
      <c r="B531" s="4" t="s">
        <v>108</v>
      </c>
      <c r="C531" s="2">
        <v>53.723799999999997</v>
      </c>
      <c r="D531" s="14">
        <v>29.129300000000001</v>
      </c>
    </row>
    <row r="532" spans="1:4" s="1" customFormat="1" ht="19.75" customHeight="1" x14ac:dyDescent="0.25">
      <c r="A532" s="9">
        <f>2020</f>
        <v>2020</v>
      </c>
      <c r="B532" s="4" t="s">
        <v>127</v>
      </c>
      <c r="C532" s="5">
        <v>3.9354</v>
      </c>
      <c r="D532" s="13">
        <v>20.4985</v>
      </c>
    </row>
    <row r="533" spans="1:4" s="1" customFormat="1" ht="19.75" customHeight="1" x14ac:dyDescent="0.25">
      <c r="A533" s="9">
        <f>2020</f>
        <v>2020</v>
      </c>
      <c r="B533" s="4" t="s">
        <v>11</v>
      </c>
      <c r="C533" s="2">
        <v>14.736599999999999</v>
      </c>
      <c r="D533" s="14">
        <v>6.4311999999999996</v>
      </c>
    </row>
    <row r="534" spans="1:4" s="1" customFormat="1" ht="19.75" customHeight="1" x14ac:dyDescent="0.25">
      <c r="A534" s="9">
        <f>2020</f>
        <v>2020</v>
      </c>
      <c r="B534" s="4" t="s">
        <v>10</v>
      </c>
      <c r="C534" s="5">
        <v>14.9574</v>
      </c>
      <c r="D534" s="13">
        <v>26.2803</v>
      </c>
    </row>
    <row r="535" spans="1:4" s="1" customFormat="1" ht="19.75" customHeight="1" x14ac:dyDescent="0.25">
      <c r="A535" s="9">
        <f>2020</f>
        <v>2020</v>
      </c>
      <c r="B535" s="4" t="s">
        <v>9</v>
      </c>
      <c r="C535" s="2">
        <v>600.1481</v>
      </c>
      <c r="D535" s="14">
        <v>262.82839999999999</v>
      </c>
    </row>
    <row r="536" spans="1:4" s="1" customFormat="1" ht="19.75" customHeight="1" x14ac:dyDescent="0.25">
      <c r="A536" s="9">
        <f>2020</f>
        <v>2020</v>
      </c>
      <c r="B536" s="4" t="s">
        <v>8</v>
      </c>
      <c r="C536" s="5">
        <v>1035.3938000000001</v>
      </c>
      <c r="D536" s="13">
        <v>327.87110000000001</v>
      </c>
    </row>
    <row r="537" spans="1:4" s="1" customFormat="1" ht="19.75" customHeight="1" x14ac:dyDescent="0.25">
      <c r="A537" s="9">
        <f>2020</f>
        <v>2020</v>
      </c>
      <c r="B537" s="4" t="s">
        <v>7</v>
      </c>
      <c r="C537" s="2">
        <v>1.121469</v>
      </c>
      <c r="D537" s="14">
        <v>17.860961</v>
      </c>
    </row>
    <row r="538" spans="1:4" s="1" customFormat="1" ht="19.75" customHeight="1" x14ac:dyDescent="0.25">
      <c r="A538" s="9">
        <f>2020</f>
        <v>2020</v>
      </c>
      <c r="B538" s="4" t="s">
        <v>119</v>
      </c>
      <c r="C538" s="5">
        <v>19.865100000000002</v>
      </c>
      <c r="D538" s="13">
        <v>26.608899999999998</v>
      </c>
    </row>
    <row r="539" spans="1:4" s="1" customFormat="1" ht="19.75" customHeight="1" x14ac:dyDescent="0.25">
      <c r="A539" s="9">
        <f>2020</f>
        <v>2020</v>
      </c>
      <c r="B539" s="4" t="s">
        <v>98</v>
      </c>
      <c r="C539" s="2">
        <v>0.37737700000000002</v>
      </c>
      <c r="D539" s="14">
        <v>30.37707</v>
      </c>
    </row>
    <row r="540" spans="1:4" s="1" customFormat="1" ht="19.75" customHeight="1" x14ac:dyDescent="0.25">
      <c r="A540" s="9">
        <f>2020</f>
        <v>2020</v>
      </c>
      <c r="B540" s="4" t="s">
        <v>6</v>
      </c>
      <c r="C540" s="5">
        <v>78.5184</v>
      </c>
      <c r="D540" s="13">
        <v>87.825699999999998</v>
      </c>
    </row>
    <row r="541" spans="1:4" s="1" customFormat="1" ht="19.75" customHeight="1" x14ac:dyDescent="0.25">
      <c r="A541" s="9">
        <f>2020</f>
        <v>2020</v>
      </c>
      <c r="B541" s="4" t="s">
        <v>5</v>
      </c>
      <c r="C541" s="2">
        <v>434.2242</v>
      </c>
      <c r="D541" s="14">
        <v>126.79810000000001</v>
      </c>
    </row>
    <row r="542" spans="1:4" s="1" customFormat="1" ht="19.75" customHeight="1" x14ac:dyDescent="0.25">
      <c r="A542" s="9">
        <f>2020</f>
        <v>2020</v>
      </c>
      <c r="B542" s="4" t="s">
        <v>4</v>
      </c>
      <c r="C542" s="5">
        <v>140.2012</v>
      </c>
      <c r="D542" s="13">
        <v>143.13890000000001</v>
      </c>
    </row>
    <row r="543" spans="1:4" s="1" customFormat="1" ht="19.75" customHeight="1" x14ac:dyDescent="0.25">
      <c r="A543" s="9">
        <f>2020</f>
        <v>2020</v>
      </c>
      <c r="B543" s="4" t="s">
        <v>3</v>
      </c>
      <c r="C543" s="2">
        <v>2.2536999999999998</v>
      </c>
      <c r="D543" s="14">
        <v>7.7312000000000003</v>
      </c>
    </row>
    <row r="544" spans="1:4" s="1" customFormat="1" ht="19.75" customHeight="1" x14ac:dyDescent="0.25">
      <c r="A544" s="9">
        <f>2020</f>
        <v>2020</v>
      </c>
      <c r="B544" s="4" t="s">
        <v>2</v>
      </c>
      <c r="C544" s="5">
        <v>5040.9834119999996</v>
      </c>
      <c r="D544" s="13">
        <v>3503.758331</v>
      </c>
    </row>
    <row r="545" spans="1:4" s="1" customFormat="1" ht="19.75" customHeight="1" x14ac:dyDescent="0.25">
      <c r="A545" s="9">
        <f>2020</f>
        <v>2020</v>
      </c>
      <c r="B545" s="4" t="s">
        <v>105</v>
      </c>
      <c r="C545" s="2">
        <v>768.22051199999999</v>
      </c>
      <c r="D545" s="14">
        <v>171.561792</v>
      </c>
    </row>
    <row r="546" spans="1:4" s="1" customFormat="1" ht="19.75" customHeight="1" x14ac:dyDescent="0.25">
      <c r="A546" s="9">
        <f>2020</f>
        <v>2020</v>
      </c>
      <c r="B546" s="4" t="s">
        <v>93</v>
      </c>
      <c r="C546" s="5">
        <v>73.395899999999997</v>
      </c>
      <c r="D546" s="13">
        <v>162.45670000000001</v>
      </c>
    </row>
    <row r="547" spans="1:4" s="1" customFormat="1" ht="19.75" customHeight="1" x14ac:dyDescent="0.25">
      <c r="A547" s="9">
        <f>2020</f>
        <v>2020</v>
      </c>
      <c r="B547" s="4" t="s">
        <v>95</v>
      </c>
      <c r="C547" s="2">
        <v>31.680800000000001</v>
      </c>
      <c r="D547" s="14">
        <v>81.195400000000006</v>
      </c>
    </row>
    <row r="548" spans="1:4" s="1" customFormat="1" ht="19.75" customHeight="1" x14ac:dyDescent="0.25">
      <c r="A548" s="9">
        <f>2020</f>
        <v>2020</v>
      </c>
      <c r="B548" s="4" t="s">
        <v>104</v>
      </c>
      <c r="C548" s="5">
        <v>4.8815999999999997</v>
      </c>
      <c r="D548" s="13">
        <v>36.820799999999998</v>
      </c>
    </row>
    <row r="549" spans="1:4" s="1" customFormat="1" ht="19.75" customHeight="1" x14ac:dyDescent="0.25">
      <c r="A549" s="9">
        <f>2020</f>
        <v>2020</v>
      </c>
      <c r="B549" s="4" t="s">
        <v>97</v>
      </c>
      <c r="C549" s="2">
        <v>162.80350000000001</v>
      </c>
      <c r="D549" s="14">
        <v>53.061</v>
      </c>
    </row>
    <row r="550" spans="1:4" s="1" customFormat="1" ht="19.75" customHeight="1" x14ac:dyDescent="0.25">
      <c r="A550" s="9">
        <f>2020</f>
        <v>2020</v>
      </c>
      <c r="B550" s="4" t="s">
        <v>118</v>
      </c>
      <c r="C550" s="5">
        <v>2376.944011</v>
      </c>
      <c r="D550" s="13">
        <v>1417.85853</v>
      </c>
    </row>
    <row r="551" spans="1:4" s="1" customFormat="1" ht="19.75" customHeight="1" x14ac:dyDescent="0.25">
      <c r="A551" s="9">
        <f>2020</f>
        <v>2020</v>
      </c>
      <c r="B551" s="4" t="s">
        <v>114</v>
      </c>
      <c r="C551" s="2">
        <v>285.512</v>
      </c>
      <c r="D551" s="14">
        <v>163.3331</v>
      </c>
    </row>
    <row r="552" spans="1:4" s="1" customFormat="1" ht="19.75" customHeight="1" x14ac:dyDescent="0.25">
      <c r="A552" s="9">
        <f>2020</f>
        <v>2020</v>
      </c>
      <c r="B552" s="4" t="s">
        <v>113</v>
      </c>
      <c r="C552" s="5">
        <v>1150.1380999999999</v>
      </c>
      <c r="D552" s="13">
        <v>1180.0786000000001</v>
      </c>
    </row>
    <row r="553" spans="1:4" s="1" customFormat="1" ht="19.75" customHeight="1" x14ac:dyDescent="0.25">
      <c r="A553" s="9">
        <f>2020</f>
        <v>2020</v>
      </c>
      <c r="B553" s="4" t="s">
        <v>121</v>
      </c>
      <c r="C553" s="2">
        <v>621.05719999999997</v>
      </c>
      <c r="D553" s="14">
        <v>600.67650000000003</v>
      </c>
    </row>
    <row r="554" spans="1:4" s="1" customFormat="1" ht="19.75" customHeight="1" x14ac:dyDescent="0.25">
      <c r="A554" s="9">
        <f>2020</f>
        <v>2020</v>
      </c>
      <c r="B554" s="4" t="s">
        <v>126</v>
      </c>
      <c r="C554" s="5">
        <v>451.498223</v>
      </c>
      <c r="D554" s="13">
        <v>426.13052900000002</v>
      </c>
    </row>
    <row r="555" spans="1:4" s="1" customFormat="1" ht="19.75" customHeight="1" x14ac:dyDescent="0.25">
      <c r="A555" s="9">
        <f>2020</f>
        <v>2020</v>
      </c>
      <c r="B555" s="4" t="s">
        <v>125</v>
      </c>
      <c r="C555" s="2">
        <v>980.15793900000006</v>
      </c>
      <c r="D555" s="14">
        <v>1164.0764220000001</v>
      </c>
    </row>
    <row r="556" spans="1:4" s="1" customFormat="1" ht="19.75" customHeight="1" x14ac:dyDescent="0.25">
      <c r="A556" s="9">
        <f>2020</f>
        <v>2020</v>
      </c>
      <c r="B556" s="4" t="s">
        <v>124</v>
      </c>
      <c r="C556" s="5">
        <v>136.72954999999999</v>
      </c>
      <c r="D556" s="13">
        <v>132.61981800000001</v>
      </c>
    </row>
    <row r="557" spans="1:4" s="1" customFormat="1" ht="19.75" customHeight="1" x14ac:dyDescent="0.25">
      <c r="A557" s="9">
        <f>2020</f>
        <v>2020</v>
      </c>
      <c r="B557" s="4" t="s">
        <v>117</v>
      </c>
      <c r="C557" s="2">
        <v>276.1823</v>
      </c>
      <c r="D557" s="14">
        <v>272.12079999999997</v>
      </c>
    </row>
    <row r="558" spans="1:4" s="1" customFormat="1" ht="19.75" customHeight="1" x14ac:dyDescent="0.25">
      <c r="A558" s="9">
        <f>2020</f>
        <v>2020</v>
      </c>
      <c r="B558" s="4" t="s">
        <v>116</v>
      </c>
      <c r="C558" s="5">
        <v>1070.0067899999999</v>
      </c>
      <c r="D558" s="13">
        <v>1318.5755039999999</v>
      </c>
    </row>
    <row r="559" spans="1:4" s="1" customFormat="1" ht="19.75" customHeight="1" x14ac:dyDescent="0.25">
      <c r="A559" s="9">
        <f>2020</f>
        <v>2020</v>
      </c>
      <c r="B559" s="4" t="s">
        <v>115</v>
      </c>
      <c r="C559" s="2">
        <v>579.46259999999995</v>
      </c>
      <c r="D559" s="14">
        <v>476.48410000000001</v>
      </c>
    </row>
    <row r="560" spans="1:4" s="1" customFormat="1" ht="19.75" customHeight="1" x14ac:dyDescent="0.25">
      <c r="A560" s="9">
        <f>2020</f>
        <v>2020</v>
      </c>
      <c r="B560" s="4" t="s">
        <v>123</v>
      </c>
      <c r="C560" s="5">
        <v>13.599335</v>
      </c>
      <c r="D560" s="13">
        <v>487.52645899999999</v>
      </c>
    </row>
    <row r="561" spans="1:4" s="1" customFormat="1" ht="19.75" customHeight="1" x14ac:dyDescent="0.25">
      <c r="A561" s="9">
        <f>2019</f>
        <v>2019</v>
      </c>
      <c r="B561" s="4" t="s">
        <v>79</v>
      </c>
      <c r="C561" s="2">
        <v>11353.483399999999</v>
      </c>
      <c r="D561" s="14">
        <v>4444.0010000000002</v>
      </c>
    </row>
    <row r="562" spans="1:4" s="1" customFormat="1" ht="19.75" customHeight="1" x14ac:dyDescent="0.25">
      <c r="A562" s="9">
        <f>2019</f>
        <v>2019</v>
      </c>
      <c r="B562" s="4" t="s">
        <v>78</v>
      </c>
      <c r="C562" s="5">
        <v>12223.9915</v>
      </c>
      <c r="D562" s="13">
        <v>3730.1489000000001</v>
      </c>
    </row>
    <row r="563" spans="1:4" s="1" customFormat="1" ht="19.75" customHeight="1" x14ac:dyDescent="0.25">
      <c r="A563" s="9">
        <f>2019</f>
        <v>2019</v>
      </c>
      <c r="B563" s="4" t="s">
        <v>77</v>
      </c>
      <c r="C563" s="2">
        <v>31290.3004</v>
      </c>
      <c r="D563" s="14">
        <v>11287.9781</v>
      </c>
    </row>
    <row r="564" spans="1:4" s="1" customFormat="1" ht="19.75" customHeight="1" x14ac:dyDescent="0.25">
      <c r="A564" s="9">
        <f>2019</f>
        <v>2019</v>
      </c>
      <c r="B564" s="4" t="s">
        <v>76</v>
      </c>
      <c r="C564" s="5">
        <v>27110.141</v>
      </c>
      <c r="D564" s="13">
        <v>10224.3485</v>
      </c>
    </row>
    <row r="565" spans="1:4" s="1" customFormat="1" ht="19.75" customHeight="1" x14ac:dyDescent="0.25">
      <c r="A565" s="9">
        <f>2019</f>
        <v>2019</v>
      </c>
      <c r="B565" s="4" t="s">
        <v>75</v>
      </c>
      <c r="C565" s="2">
        <v>7116.1161000000002</v>
      </c>
      <c r="D565" s="14">
        <v>3083.3287999999998</v>
      </c>
    </row>
    <row r="566" spans="1:4" s="1" customFormat="1" ht="19.75" customHeight="1" x14ac:dyDescent="0.25">
      <c r="A566" s="9">
        <f>2019</f>
        <v>2019</v>
      </c>
      <c r="B566" s="4" t="s">
        <v>74</v>
      </c>
      <c r="C566" s="5">
        <v>32332.220099999999</v>
      </c>
      <c r="D566" s="13">
        <v>10462.2075</v>
      </c>
    </row>
    <row r="567" spans="1:4" s="1" customFormat="1" ht="19.75" customHeight="1" x14ac:dyDescent="0.25">
      <c r="A567" s="9">
        <f>2019</f>
        <v>2019</v>
      </c>
      <c r="B567" s="4" t="s">
        <v>73</v>
      </c>
      <c r="C567" s="2">
        <v>15866.389800000001</v>
      </c>
      <c r="D567" s="14">
        <v>6058.625</v>
      </c>
    </row>
    <row r="568" spans="1:4" s="1" customFormat="1" ht="19.75" customHeight="1" x14ac:dyDescent="0.25">
      <c r="A568" s="9">
        <f>2019</f>
        <v>2019</v>
      </c>
      <c r="B568" s="4" t="s">
        <v>72</v>
      </c>
      <c r="C568" s="5">
        <v>10114.165999999999</v>
      </c>
      <c r="D568" s="13">
        <v>3486.0680000000002</v>
      </c>
    </row>
    <row r="569" spans="1:4" s="1" customFormat="1" ht="19.75" customHeight="1" x14ac:dyDescent="0.25">
      <c r="A569" s="9">
        <f>2019</f>
        <v>2019</v>
      </c>
      <c r="B569" s="4" t="s">
        <v>71</v>
      </c>
      <c r="C569" s="2">
        <v>5767.3155999999999</v>
      </c>
      <c r="D569" s="14">
        <v>3246.7401</v>
      </c>
    </row>
    <row r="570" spans="1:4" s="1" customFormat="1" ht="19.75" customHeight="1" x14ac:dyDescent="0.25">
      <c r="A570" s="9">
        <f>2019</f>
        <v>2019</v>
      </c>
      <c r="B570" s="4" t="s">
        <v>69</v>
      </c>
      <c r="C570" s="5">
        <v>12166.7197</v>
      </c>
      <c r="D570" s="13">
        <v>4020.3665999999998</v>
      </c>
    </row>
    <row r="571" spans="1:4" s="1" customFormat="1" ht="19.75" customHeight="1" x14ac:dyDescent="0.25">
      <c r="A571" s="9">
        <f>2019</f>
        <v>2019</v>
      </c>
      <c r="B571" s="4" t="s">
        <v>68</v>
      </c>
      <c r="C571" s="2">
        <v>12352.1278</v>
      </c>
      <c r="D571" s="14">
        <v>4451.5816000000004</v>
      </c>
    </row>
    <row r="572" spans="1:4" s="1" customFormat="1" ht="19.75" customHeight="1" x14ac:dyDescent="0.25">
      <c r="A572" s="9">
        <f>2019</f>
        <v>2019</v>
      </c>
      <c r="B572" s="4" t="s">
        <v>67</v>
      </c>
      <c r="C572" s="5">
        <v>12369.5705</v>
      </c>
      <c r="D572" s="13">
        <v>4614.4354999999996</v>
      </c>
    </row>
    <row r="573" spans="1:4" s="1" customFormat="1" ht="19.75" customHeight="1" x14ac:dyDescent="0.25">
      <c r="A573" s="9">
        <f>2019</f>
        <v>2019</v>
      </c>
      <c r="B573" s="4" t="s">
        <v>66</v>
      </c>
      <c r="C573" s="2">
        <v>6278.9690000000001</v>
      </c>
      <c r="D573" s="14">
        <v>1711.1220000000001</v>
      </c>
    </row>
    <row r="574" spans="1:4" s="1" customFormat="1" ht="19.75" customHeight="1" x14ac:dyDescent="0.25">
      <c r="A574" s="9">
        <f>2019</f>
        <v>2019</v>
      </c>
      <c r="B574" s="4" t="s">
        <v>65</v>
      </c>
      <c r="C574" s="5">
        <v>34153.936999999998</v>
      </c>
      <c r="D574" s="13">
        <v>11538.480600000001</v>
      </c>
    </row>
    <row r="575" spans="1:4" s="1" customFormat="1" ht="19.75" customHeight="1" x14ac:dyDescent="0.25">
      <c r="A575" s="9">
        <f>2019</f>
        <v>2019</v>
      </c>
      <c r="B575" s="4" t="s">
        <v>85</v>
      </c>
      <c r="C575" s="2">
        <v>154519.77799999999</v>
      </c>
      <c r="D575" s="14">
        <v>69687.737399999998</v>
      </c>
    </row>
    <row r="576" spans="1:4" s="1" customFormat="1" ht="19.75" customHeight="1" x14ac:dyDescent="0.25">
      <c r="A576" s="9">
        <f>2019</f>
        <v>2019</v>
      </c>
      <c r="B576" s="4" t="s">
        <v>64</v>
      </c>
      <c r="C576" s="5">
        <v>15076.5376</v>
      </c>
      <c r="D576" s="13">
        <v>6053.4876000000004</v>
      </c>
    </row>
    <row r="577" spans="1:4" s="1" customFormat="1" ht="19.75" customHeight="1" x14ac:dyDescent="0.25">
      <c r="A577" s="9">
        <f>2019</f>
        <v>2019</v>
      </c>
      <c r="B577" s="4" t="s">
        <v>63</v>
      </c>
      <c r="C577" s="2">
        <v>10019.478499999999</v>
      </c>
      <c r="D577" s="14">
        <v>3064.4243000000001</v>
      </c>
    </row>
    <row r="578" spans="1:4" s="1" customFormat="1" ht="19.75" customHeight="1" x14ac:dyDescent="0.25">
      <c r="A578" s="9">
        <f>2019</f>
        <v>2019</v>
      </c>
      <c r="B578" s="4" t="s">
        <v>62</v>
      </c>
      <c r="C578" s="5">
        <v>23851.748200000002</v>
      </c>
      <c r="D578" s="13">
        <v>7167.6253999999999</v>
      </c>
    </row>
    <row r="579" spans="1:4" s="1" customFormat="1" ht="19.75" customHeight="1" x14ac:dyDescent="0.25">
      <c r="A579" s="9">
        <f>2019</f>
        <v>2019</v>
      </c>
      <c r="B579" s="4" t="s">
        <v>61</v>
      </c>
      <c r="C579" s="2">
        <v>6585.2709999999997</v>
      </c>
      <c r="D579" s="14">
        <v>2947.6008000000002</v>
      </c>
    </row>
    <row r="580" spans="1:4" s="1" customFormat="1" ht="19.75" customHeight="1" x14ac:dyDescent="0.25">
      <c r="A580" s="9">
        <f>2019</f>
        <v>2019</v>
      </c>
      <c r="B580" s="4" t="s">
        <v>60</v>
      </c>
      <c r="C580" s="5">
        <v>10065.3251</v>
      </c>
      <c r="D580" s="13">
        <v>3834.0115000000001</v>
      </c>
    </row>
    <row r="581" spans="1:4" s="1" customFormat="1" ht="19.75" customHeight="1" x14ac:dyDescent="0.25">
      <c r="A581" s="9">
        <f>2019</f>
        <v>2019</v>
      </c>
      <c r="B581" s="4" t="s">
        <v>59</v>
      </c>
      <c r="C581" s="2">
        <v>33277.597000000002</v>
      </c>
      <c r="D581" s="14">
        <v>15833.4077</v>
      </c>
    </row>
    <row r="582" spans="1:4" s="1" customFormat="1" ht="19.75" customHeight="1" x14ac:dyDescent="0.25">
      <c r="A582" s="9">
        <f>2019</f>
        <v>2019</v>
      </c>
      <c r="B582" s="4" t="s">
        <v>112</v>
      </c>
      <c r="C582" s="5">
        <v>2147.9528</v>
      </c>
      <c r="D582" s="13">
        <v>1810.279</v>
      </c>
    </row>
    <row r="583" spans="1:4" s="1" customFormat="1" ht="19.75" customHeight="1" x14ac:dyDescent="0.25">
      <c r="A583" s="9">
        <f>2019</f>
        <v>2019</v>
      </c>
      <c r="B583" s="4" t="s">
        <v>54</v>
      </c>
      <c r="C583" s="2">
        <v>2155.6774</v>
      </c>
      <c r="D583" s="14">
        <v>885.88620000000003</v>
      </c>
    </row>
    <row r="584" spans="1:4" s="1" customFormat="1" ht="19.75" customHeight="1" x14ac:dyDescent="0.25">
      <c r="A584" s="9">
        <f>2019</f>
        <v>2019</v>
      </c>
      <c r="B584" s="4" t="s">
        <v>53</v>
      </c>
      <c r="C584" s="5">
        <v>907.56089999999995</v>
      </c>
      <c r="D584" s="13">
        <v>562.51369999999997</v>
      </c>
    </row>
    <row r="585" spans="1:4" s="1" customFormat="1" ht="19.75" customHeight="1" x14ac:dyDescent="0.25">
      <c r="A585" s="9">
        <f>2019</f>
        <v>2019</v>
      </c>
      <c r="B585" s="4" t="s">
        <v>52</v>
      </c>
      <c r="C585" s="2">
        <v>1892.1955</v>
      </c>
      <c r="D585" s="14">
        <v>852.85130000000004</v>
      </c>
    </row>
    <row r="586" spans="1:4" s="1" customFormat="1" ht="19.75" customHeight="1" x14ac:dyDescent="0.25">
      <c r="A586" s="9">
        <f>2019</f>
        <v>2019</v>
      </c>
      <c r="B586" s="4" t="s">
        <v>51</v>
      </c>
      <c r="C586" s="5">
        <v>624.71519999999998</v>
      </c>
      <c r="D586" s="13">
        <v>304.58049999999997</v>
      </c>
    </row>
    <row r="587" spans="1:4" s="1" customFormat="1" ht="19.75" customHeight="1" x14ac:dyDescent="0.25">
      <c r="A587" s="9">
        <f>2019</f>
        <v>2019</v>
      </c>
      <c r="B587" s="4" t="s">
        <v>50</v>
      </c>
      <c r="C587" s="2">
        <v>7242.6796000000004</v>
      </c>
      <c r="D587" s="14">
        <v>2764.2669000000001</v>
      </c>
    </row>
    <row r="588" spans="1:4" s="1" customFormat="1" ht="19.75" customHeight="1" x14ac:dyDescent="0.25">
      <c r="A588" s="9">
        <f>2019</f>
        <v>2019</v>
      </c>
      <c r="B588" s="4" t="s">
        <v>48</v>
      </c>
      <c r="C588" s="5">
        <v>50728.828500000003</v>
      </c>
      <c r="D588" s="13">
        <v>26119.37</v>
      </c>
    </row>
    <row r="589" spans="1:4" s="1" customFormat="1" ht="19.75" customHeight="1" x14ac:dyDescent="0.25">
      <c r="A589" s="9">
        <f>2019</f>
        <v>2019</v>
      </c>
      <c r="B589" s="4" t="s">
        <v>47</v>
      </c>
      <c r="C589" s="2">
        <v>36386.395100000002</v>
      </c>
      <c r="D589" s="14">
        <v>18089.062000000002</v>
      </c>
    </row>
    <row r="590" spans="1:4" s="1" customFormat="1" ht="19.75" customHeight="1" x14ac:dyDescent="0.25">
      <c r="A590" s="9">
        <f>2019</f>
        <v>2019</v>
      </c>
      <c r="B590" s="4" t="s">
        <v>92</v>
      </c>
      <c r="C590" s="5">
        <v>16165.621999999999</v>
      </c>
      <c r="D590" s="13">
        <v>5153.7875000000004</v>
      </c>
    </row>
    <row r="591" spans="1:4" s="1" customFormat="1" ht="19.75" customHeight="1" x14ac:dyDescent="0.25">
      <c r="A591" s="9">
        <f>2019</f>
        <v>2019</v>
      </c>
      <c r="B591" s="4" t="s">
        <v>122</v>
      </c>
      <c r="C591" s="2">
        <v>8749.0833999999995</v>
      </c>
      <c r="D591" s="14">
        <v>5886.7332999999999</v>
      </c>
    </row>
    <row r="592" spans="1:4" s="1" customFormat="1" ht="19.75" customHeight="1" x14ac:dyDescent="0.25">
      <c r="A592" s="9">
        <f>2019</f>
        <v>2019</v>
      </c>
      <c r="B592" s="4" t="s">
        <v>46</v>
      </c>
      <c r="C592" s="5">
        <v>13414.9668</v>
      </c>
      <c r="D592" s="13">
        <v>6404.6836000000003</v>
      </c>
    </row>
    <row r="593" spans="1:4" s="1" customFormat="1" ht="19.75" customHeight="1" x14ac:dyDescent="0.25">
      <c r="A593" s="9">
        <f>2019</f>
        <v>2019</v>
      </c>
      <c r="B593" s="4" t="s">
        <v>44</v>
      </c>
      <c r="C593" s="2">
        <v>4291.6327000000001</v>
      </c>
      <c r="D593" s="14">
        <v>2478.6579999999999</v>
      </c>
    </row>
    <row r="594" spans="1:4" s="1" customFormat="1" ht="19.75" customHeight="1" x14ac:dyDescent="0.25">
      <c r="A594" s="9">
        <f>2019</f>
        <v>2019</v>
      </c>
      <c r="B594" s="4" t="s">
        <v>43</v>
      </c>
      <c r="C594" s="5">
        <v>4000.8359</v>
      </c>
      <c r="D594" s="13">
        <v>1457.2714000000001</v>
      </c>
    </row>
    <row r="595" spans="1:4" s="1" customFormat="1" ht="19.75" customHeight="1" x14ac:dyDescent="0.25">
      <c r="A595" s="9">
        <f>2019</f>
        <v>2019</v>
      </c>
      <c r="B595" s="4" t="s">
        <v>42</v>
      </c>
      <c r="C595" s="2">
        <v>3453.0012999999999</v>
      </c>
      <c r="D595" s="14">
        <v>1614.8089</v>
      </c>
    </row>
    <row r="596" spans="1:4" s="1" customFormat="1" ht="19.75" customHeight="1" x14ac:dyDescent="0.25">
      <c r="A596" s="9">
        <f>2019</f>
        <v>2019</v>
      </c>
      <c r="B596" s="4" t="s">
        <v>41</v>
      </c>
      <c r="C596" s="5">
        <v>12684.2487</v>
      </c>
      <c r="D596" s="13">
        <v>7514.8008</v>
      </c>
    </row>
    <row r="597" spans="1:4" s="1" customFormat="1" ht="19.75" customHeight="1" x14ac:dyDescent="0.25">
      <c r="A597" s="9">
        <f>2019</f>
        <v>2019</v>
      </c>
      <c r="B597" s="4" t="s">
        <v>40</v>
      </c>
      <c r="C597" s="2">
        <v>2279.7512999999999</v>
      </c>
      <c r="D597" s="14">
        <v>822.42660000000001</v>
      </c>
    </row>
    <row r="598" spans="1:4" s="1" customFormat="1" ht="19.75" customHeight="1" x14ac:dyDescent="0.25">
      <c r="A598" s="9">
        <f>2019</f>
        <v>2019</v>
      </c>
      <c r="B598" s="4" t="s">
        <v>38</v>
      </c>
      <c r="C598" s="5">
        <v>425.88220000000001</v>
      </c>
      <c r="D598" s="13">
        <v>147.10980000000001</v>
      </c>
    </row>
    <row r="599" spans="1:4" s="1" customFormat="1" ht="19.75" customHeight="1" x14ac:dyDescent="0.25">
      <c r="A599" s="9">
        <f>2019</f>
        <v>2019</v>
      </c>
      <c r="B599" s="4" t="s">
        <v>37</v>
      </c>
      <c r="C599" s="2">
        <v>3761.2278000000001</v>
      </c>
      <c r="D599" s="14">
        <v>2042.0161000000001</v>
      </c>
    </row>
    <row r="600" spans="1:4" s="1" customFormat="1" ht="19.75" customHeight="1" x14ac:dyDescent="0.25">
      <c r="A600" s="9">
        <f>2019</f>
        <v>2019</v>
      </c>
      <c r="B600" s="4" t="s">
        <v>34</v>
      </c>
      <c r="C600" s="5">
        <v>4856.8176000000003</v>
      </c>
      <c r="D600" s="13">
        <v>1506.9322</v>
      </c>
    </row>
    <row r="601" spans="1:4" s="1" customFormat="1" ht="19.75" customHeight="1" x14ac:dyDescent="0.25">
      <c r="A601" s="9">
        <f>2019</f>
        <v>2019</v>
      </c>
      <c r="B601" s="4" t="s">
        <v>33</v>
      </c>
      <c r="C601" s="2">
        <v>1994.3044</v>
      </c>
      <c r="D601" s="14">
        <v>760.22619999999995</v>
      </c>
    </row>
    <row r="602" spans="1:4" s="1" customFormat="1" ht="19.75" customHeight="1" x14ac:dyDescent="0.25">
      <c r="A602" s="9">
        <f>2019</f>
        <v>2019</v>
      </c>
      <c r="B602" s="4" t="s">
        <v>31</v>
      </c>
      <c r="C602" s="5">
        <v>19815.716</v>
      </c>
      <c r="D602" s="13">
        <v>6264.2767999999996</v>
      </c>
    </row>
    <row r="603" spans="1:4" s="1" customFormat="1" ht="19.75" customHeight="1" x14ac:dyDescent="0.25">
      <c r="A603" s="9">
        <f>2019</f>
        <v>2019</v>
      </c>
      <c r="B603" s="4" t="s">
        <v>30</v>
      </c>
      <c r="C603" s="2">
        <v>1.8366</v>
      </c>
      <c r="D603" s="14">
        <v>15.3392</v>
      </c>
    </row>
    <row r="604" spans="1:4" s="1" customFormat="1" ht="19.75" customHeight="1" x14ac:dyDescent="0.25">
      <c r="A604" s="9">
        <f>2019</f>
        <v>2019</v>
      </c>
      <c r="B604" s="4" t="s">
        <v>29</v>
      </c>
      <c r="C604" s="5">
        <v>142.9273</v>
      </c>
      <c r="D604" s="13">
        <v>51.262799999999999</v>
      </c>
    </row>
    <row r="605" spans="1:4" s="1" customFormat="1" ht="19.75" customHeight="1" x14ac:dyDescent="0.25">
      <c r="A605" s="9">
        <f>2019</f>
        <v>2019</v>
      </c>
      <c r="B605" s="4" t="s">
        <v>91</v>
      </c>
      <c r="C605" s="2">
        <v>146.10810000000001</v>
      </c>
      <c r="D605" s="14">
        <v>1512.5894000000001</v>
      </c>
    </row>
    <row r="606" spans="1:4" s="1" customFormat="1" ht="19.75" customHeight="1" x14ac:dyDescent="0.25">
      <c r="A606" s="9">
        <f>2019</f>
        <v>2019</v>
      </c>
      <c r="B606" s="4" t="s">
        <v>103</v>
      </c>
      <c r="C606" s="5">
        <v>196.16229999999999</v>
      </c>
      <c r="D606" s="13">
        <v>136.43770000000001</v>
      </c>
    </row>
    <row r="607" spans="1:4" s="1" customFormat="1" ht="19.75" customHeight="1" x14ac:dyDescent="0.25">
      <c r="A607" s="9">
        <f>2019</f>
        <v>2019</v>
      </c>
      <c r="B607" s="4" t="s">
        <v>27</v>
      </c>
      <c r="C607" s="2">
        <v>931.22559999999999</v>
      </c>
      <c r="D607" s="14">
        <v>733.87919999999997</v>
      </c>
    </row>
    <row r="608" spans="1:4" s="1" customFormat="1" ht="19.75" customHeight="1" x14ac:dyDescent="0.25">
      <c r="A608" s="9">
        <f>2019</f>
        <v>2019</v>
      </c>
      <c r="B608" s="4" t="s">
        <v>26</v>
      </c>
      <c r="C608" s="5">
        <v>110.36450000000001</v>
      </c>
      <c r="D608" s="13">
        <v>37.535699999999999</v>
      </c>
    </row>
    <row r="609" spans="1:4" s="1" customFormat="1" ht="19.75" customHeight="1" x14ac:dyDescent="0.25">
      <c r="A609" s="9">
        <f>2019</f>
        <v>2019</v>
      </c>
      <c r="B609" s="4" t="s">
        <v>25</v>
      </c>
      <c r="C609" s="2">
        <v>12.176159999999999</v>
      </c>
      <c r="D609" s="14">
        <v>7.121715</v>
      </c>
    </row>
    <row r="610" spans="1:4" s="1" customFormat="1" ht="19.75" customHeight="1" x14ac:dyDescent="0.25">
      <c r="A610" s="9">
        <f>2019</f>
        <v>2019</v>
      </c>
      <c r="B610" s="4" t="s">
        <v>24</v>
      </c>
      <c r="C610" s="5">
        <v>251.2</v>
      </c>
      <c r="D610" s="13">
        <v>101.09569999999999</v>
      </c>
    </row>
    <row r="611" spans="1:4" s="1" customFormat="1" ht="19.75" customHeight="1" x14ac:dyDescent="0.25">
      <c r="A611" s="9">
        <f>2019</f>
        <v>2019</v>
      </c>
      <c r="B611" s="4" t="s">
        <v>23</v>
      </c>
      <c r="C611" s="2">
        <v>637.38379999999995</v>
      </c>
      <c r="D611" s="14">
        <v>427.76850000000002</v>
      </c>
    </row>
    <row r="612" spans="1:4" s="1" customFormat="1" ht="19.75" customHeight="1" x14ac:dyDescent="0.25">
      <c r="A612" s="9">
        <f>2019</f>
        <v>2019</v>
      </c>
      <c r="B612" s="4" t="s">
        <v>22</v>
      </c>
      <c r="C612" s="5">
        <v>1377.1322</v>
      </c>
      <c r="D612" s="13">
        <v>503.8304</v>
      </c>
    </row>
    <row r="613" spans="1:4" s="1" customFormat="1" ht="19.75" customHeight="1" x14ac:dyDescent="0.25">
      <c r="A613" s="9">
        <f>2019</f>
        <v>2019</v>
      </c>
      <c r="B613" s="4" t="s">
        <v>21</v>
      </c>
      <c r="C613" s="2">
        <v>3589.01</v>
      </c>
      <c r="D613" s="14">
        <v>4249.88</v>
      </c>
    </row>
    <row r="614" spans="1:4" s="1" customFormat="1" ht="19.75" customHeight="1" x14ac:dyDescent="0.25">
      <c r="A614" s="9">
        <f>2019</f>
        <v>2019</v>
      </c>
      <c r="B614" s="4" t="s">
        <v>102</v>
      </c>
      <c r="C614" s="5">
        <v>241.35599999999999</v>
      </c>
      <c r="D614" s="13">
        <v>110.7042</v>
      </c>
    </row>
    <row r="615" spans="1:4" s="1" customFormat="1" ht="19.75" customHeight="1" x14ac:dyDescent="0.25">
      <c r="A615" s="9">
        <f>2019</f>
        <v>2019</v>
      </c>
      <c r="B615" s="4" t="s">
        <v>20</v>
      </c>
      <c r="C615" s="2">
        <v>301.90589999999997</v>
      </c>
      <c r="D615" s="14">
        <v>166.04499999999999</v>
      </c>
    </row>
    <row r="616" spans="1:4" s="1" customFormat="1" ht="19.75" customHeight="1" x14ac:dyDescent="0.25">
      <c r="A616" s="9">
        <f>2019</f>
        <v>2019</v>
      </c>
      <c r="B616" s="4" t="s">
        <v>101</v>
      </c>
      <c r="C616" s="5">
        <v>180.6369</v>
      </c>
      <c r="D616" s="13">
        <v>67.2774</v>
      </c>
    </row>
    <row r="617" spans="1:4" s="1" customFormat="1" ht="19.75" customHeight="1" x14ac:dyDescent="0.25">
      <c r="A617" s="9">
        <f>2019</f>
        <v>2019</v>
      </c>
      <c r="B617" s="4" t="s">
        <v>19</v>
      </c>
      <c r="C617" s="2">
        <v>32.434100000000001</v>
      </c>
      <c r="D617" s="14">
        <v>42.747199999999999</v>
      </c>
    </row>
    <row r="618" spans="1:4" s="1" customFormat="1" ht="19.75" customHeight="1" x14ac:dyDescent="0.25">
      <c r="A618" s="9">
        <f>2019</f>
        <v>2019</v>
      </c>
      <c r="B618" s="4" t="s">
        <v>18</v>
      </c>
      <c r="C618" s="5">
        <v>211.55930000000001</v>
      </c>
      <c r="D618" s="13">
        <v>148.32249999999999</v>
      </c>
    </row>
    <row r="619" spans="1:4" s="1" customFormat="1" ht="19.75" customHeight="1" x14ac:dyDescent="0.25">
      <c r="A619" s="9">
        <f>2019</f>
        <v>2019</v>
      </c>
      <c r="B619" s="4" t="s">
        <v>17</v>
      </c>
      <c r="C619" s="2">
        <v>2542.1677</v>
      </c>
      <c r="D619" s="14">
        <v>1862.0632000000001</v>
      </c>
    </row>
    <row r="620" spans="1:4" s="1" customFormat="1" ht="19.75" customHeight="1" x14ac:dyDescent="0.25">
      <c r="A620" s="9">
        <f>2019</f>
        <v>2019</v>
      </c>
      <c r="B620" s="4" t="s">
        <v>107</v>
      </c>
      <c r="C620" s="5">
        <v>55.116900000000001</v>
      </c>
      <c r="D620" s="13">
        <v>44.298499999999997</v>
      </c>
    </row>
    <row r="621" spans="1:4" s="1" customFormat="1" ht="19.75" customHeight="1" x14ac:dyDescent="0.25">
      <c r="A621" s="9">
        <f>2019</f>
        <v>2019</v>
      </c>
      <c r="B621" s="4" t="s">
        <v>120</v>
      </c>
      <c r="C621" s="2">
        <v>35.817399999999999</v>
      </c>
      <c r="D621" s="14">
        <v>58.415500000000002</v>
      </c>
    </row>
    <row r="622" spans="1:4" s="1" customFormat="1" ht="19.75" customHeight="1" x14ac:dyDescent="0.25">
      <c r="A622" s="9">
        <f>2019</f>
        <v>2019</v>
      </c>
      <c r="B622" s="4" t="s">
        <v>110</v>
      </c>
      <c r="C622" s="5">
        <v>15.2212</v>
      </c>
      <c r="D622" s="13">
        <v>54.058</v>
      </c>
    </row>
    <row r="623" spans="1:4" s="1" customFormat="1" ht="19.75" customHeight="1" x14ac:dyDescent="0.25">
      <c r="A623" s="9">
        <f>2019</f>
        <v>2019</v>
      </c>
      <c r="B623" s="4" t="s">
        <v>94</v>
      </c>
      <c r="C623" s="2">
        <v>66.657499999999999</v>
      </c>
      <c r="D623" s="14">
        <v>58.478299999999997</v>
      </c>
    </row>
    <row r="624" spans="1:4" s="1" customFormat="1" ht="19.75" customHeight="1" x14ac:dyDescent="0.25">
      <c r="A624" s="9">
        <f>2019</f>
        <v>2019</v>
      </c>
      <c r="B624" s="4" t="s">
        <v>16</v>
      </c>
      <c r="C624" s="5">
        <v>4501.8600999999999</v>
      </c>
      <c r="D624" s="13">
        <v>3024.2963</v>
      </c>
    </row>
    <row r="625" spans="1:4" s="1" customFormat="1" ht="19.75" customHeight="1" x14ac:dyDescent="0.25">
      <c r="A625" s="9">
        <f>2019</f>
        <v>2019</v>
      </c>
      <c r="B625" s="4" t="s">
        <v>100</v>
      </c>
      <c r="C625" s="2">
        <v>160.84180000000001</v>
      </c>
      <c r="D625" s="14">
        <v>48.598199999999999</v>
      </c>
    </row>
    <row r="626" spans="1:4" s="1" customFormat="1" ht="19.75" customHeight="1" x14ac:dyDescent="0.25">
      <c r="A626" s="9">
        <f>2019</f>
        <v>2019</v>
      </c>
      <c r="B626" s="4" t="s">
        <v>109</v>
      </c>
      <c r="C626" s="5">
        <v>2.4895</v>
      </c>
      <c r="D626" s="13">
        <v>13.5517</v>
      </c>
    </row>
    <row r="627" spans="1:4" s="1" customFormat="1" ht="19.75" customHeight="1" x14ac:dyDescent="0.25">
      <c r="A627" s="9">
        <f>2019</f>
        <v>2019</v>
      </c>
      <c r="B627" s="4" t="s">
        <v>13</v>
      </c>
      <c r="C627" s="2">
        <v>765.55610000000001</v>
      </c>
      <c r="D627" s="14">
        <v>396.67680000000001</v>
      </c>
    </row>
    <row r="628" spans="1:4" s="1" customFormat="1" ht="19.75" customHeight="1" x14ac:dyDescent="0.25">
      <c r="A628" s="9">
        <f>2019</f>
        <v>2019</v>
      </c>
      <c r="B628" s="4" t="s">
        <v>90</v>
      </c>
      <c r="C628" s="6"/>
      <c r="D628" s="13">
        <v>10.7645</v>
      </c>
    </row>
    <row r="629" spans="1:4" s="1" customFormat="1" ht="19.75" customHeight="1" x14ac:dyDescent="0.25">
      <c r="A629" s="9">
        <f>2019</f>
        <v>2019</v>
      </c>
      <c r="B629" s="4" t="s">
        <v>108</v>
      </c>
      <c r="C629" s="2">
        <v>34.445700000000002</v>
      </c>
      <c r="D629" s="14">
        <v>18.809999999999999</v>
      </c>
    </row>
    <row r="630" spans="1:4" s="1" customFormat="1" ht="19.75" customHeight="1" x14ac:dyDescent="0.25">
      <c r="A630" s="9">
        <f>2019</f>
        <v>2019</v>
      </c>
      <c r="B630" s="4" t="s">
        <v>11</v>
      </c>
      <c r="C630" s="5">
        <v>14.5778</v>
      </c>
      <c r="D630" s="13">
        <v>5.2272999999999996</v>
      </c>
    </row>
    <row r="631" spans="1:4" s="1" customFormat="1" ht="19.75" customHeight="1" x14ac:dyDescent="0.25">
      <c r="A631" s="9">
        <f>2019</f>
        <v>2019</v>
      </c>
      <c r="B631" s="4" t="s">
        <v>10</v>
      </c>
      <c r="C631" s="2">
        <v>3.28</v>
      </c>
      <c r="D631" s="14">
        <v>25.356999999999999</v>
      </c>
    </row>
    <row r="632" spans="1:4" s="1" customFormat="1" ht="19.75" customHeight="1" x14ac:dyDescent="0.25">
      <c r="A632" s="9">
        <f>2019</f>
        <v>2019</v>
      </c>
      <c r="B632" s="4" t="s">
        <v>9</v>
      </c>
      <c r="C632" s="5">
        <v>436.88260000000002</v>
      </c>
      <c r="D632" s="13">
        <v>264.43830000000003</v>
      </c>
    </row>
    <row r="633" spans="1:4" s="1" customFormat="1" ht="19.75" customHeight="1" x14ac:dyDescent="0.25">
      <c r="A633" s="9">
        <f>2019</f>
        <v>2019</v>
      </c>
      <c r="B633" s="4" t="s">
        <v>8</v>
      </c>
      <c r="C633" s="2">
        <v>948.89</v>
      </c>
      <c r="D633" s="14">
        <v>284.78699999999998</v>
      </c>
    </row>
    <row r="634" spans="1:4" s="1" customFormat="1" ht="19.75" customHeight="1" x14ac:dyDescent="0.25">
      <c r="A634" s="9">
        <f>2019</f>
        <v>2019</v>
      </c>
      <c r="B634" s="4" t="s">
        <v>99</v>
      </c>
      <c r="C634" s="5">
        <v>0.66459999999999997</v>
      </c>
      <c r="D634" s="13">
        <v>32.813099999999999</v>
      </c>
    </row>
    <row r="635" spans="1:4" s="1" customFormat="1" ht="19.75" customHeight="1" x14ac:dyDescent="0.25">
      <c r="A635" s="9">
        <f>2019</f>
        <v>2019</v>
      </c>
      <c r="B635" s="4" t="s">
        <v>7</v>
      </c>
      <c r="C635" s="2">
        <v>1.6214999999999999</v>
      </c>
      <c r="D635" s="14">
        <v>17.590199999999999</v>
      </c>
    </row>
    <row r="636" spans="1:4" s="1" customFormat="1" ht="19.75" customHeight="1" x14ac:dyDescent="0.25">
      <c r="A636" s="9">
        <f>2019</f>
        <v>2019</v>
      </c>
      <c r="B636" s="4" t="s">
        <v>119</v>
      </c>
      <c r="C636" s="5">
        <v>5.1264000000000003</v>
      </c>
      <c r="D636" s="13">
        <v>21.590499999999999</v>
      </c>
    </row>
    <row r="637" spans="1:4" s="1" customFormat="1" ht="19.75" customHeight="1" x14ac:dyDescent="0.25">
      <c r="A637" s="9">
        <f>2019</f>
        <v>2019</v>
      </c>
      <c r="B637" s="4" t="s">
        <v>98</v>
      </c>
      <c r="C637" s="2">
        <v>5.3999999999999999E-2</v>
      </c>
      <c r="D637" s="14">
        <v>23.971800000000002</v>
      </c>
    </row>
    <row r="638" spans="1:4" s="1" customFormat="1" ht="19.75" customHeight="1" x14ac:dyDescent="0.25">
      <c r="A638" s="9">
        <f>2019</f>
        <v>2019</v>
      </c>
      <c r="B638" s="4" t="s">
        <v>6</v>
      </c>
      <c r="C638" s="5">
        <v>19.142299999999999</v>
      </c>
      <c r="D638" s="13">
        <v>59.880699999999997</v>
      </c>
    </row>
    <row r="639" spans="1:4" s="1" customFormat="1" ht="19.75" customHeight="1" x14ac:dyDescent="0.25">
      <c r="A639" s="9">
        <f>2019</f>
        <v>2019</v>
      </c>
      <c r="B639" s="4" t="s">
        <v>5</v>
      </c>
      <c r="C639" s="2">
        <v>402.91239999999999</v>
      </c>
      <c r="D639" s="14">
        <v>107.1955</v>
      </c>
    </row>
    <row r="640" spans="1:4" s="1" customFormat="1" ht="19.75" customHeight="1" x14ac:dyDescent="0.25">
      <c r="A640" s="9">
        <f>2019</f>
        <v>2019</v>
      </c>
      <c r="B640" s="4" t="s">
        <v>4</v>
      </c>
      <c r="C640" s="5">
        <v>184.52019999999999</v>
      </c>
      <c r="D640" s="13">
        <v>127.7397</v>
      </c>
    </row>
    <row r="641" spans="1:4" s="1" customFormat="1" ht="19.75" customHeight="1" x14ac:dyDescent="0.25">
      <c r="A641" s="9">
        <f>2019</f>
        <v>2019</v>
      </c>
      <c r="B641" s="4" t="s">
        <v>3</v>
      </c>
      <c r="C641" s="2">
        <v>1.6896</v>
      </c>
      <c r="D641" s="14">
        <v>7.6178999999999997</v>
      </c>
    </row>
    <row r="642" spans="1:4" s="1" customFormat="1" ht="19.75" customHeight="1" x14ac:dyDescent="0.25">
      <c r="A642" s="9">
        <f>2019</f>
        <v>2019</v>
      </c>
      <c r="B642" s="4" t="s">
        <v>2</v>
      </c>
      <c r="C642" s="5">
        <v>4918.8590000000004</v>
      </c>
      <c r="D642" s="13">
        <v>3492.8586</v>
      </c>
    </row>
    <row r="643" spans="1:4" s="1" customFormat="1" ht="19.75" customHeight="1" x14ac:dyDescent="0.25">
      <c r="A643" s="9">
        <f>2019</f>
        <v>2019</v>
      </c>
      <c r="B643" s="4" t="s">
        <v>105</v>
      </c>
      <c r="C643" s="2">
        <v>670.21720000000005</v>
      </c>
      <c r="D643" s="14">
        <v>145.77459999999999</v>
      </c>
    </row>
    <row r="644" spans="1:4" s="1" customFormat="1" ht="19.75" customHeight="1" x14ac:dyDescent="0.25">
      <c r="A644" s="9">
        <f>2019</f>
        <v>2019</v>
      </c>
      <c r="B644" s="4" t="s">
        <v>93</v>
      </c>
      <c r="C644" s="5">
        <v>83.920199999999994</v>
      </c>
      <c r="D644" s="13">
        <v>68.408199999999994</v>
      </c>
    </row>
    <row r="645" spans="1:4" s="1" customFormat="1" ht="19.75" customHeight="1" x14ac:dyDescent="0.25">
      <c r="A645" s="9">
        <f>2019</f>
        <v>2019</v>
      </c>
      <c r="B645" s="4" t="s">
        <v>95</v>
      </c>
      <c r="C645" s="2">
        <v>32.846299999999999</v>
      </c>
      <c r="D645" s="14">
        <v>26.020499999999998</v>
      </c>
    </row>
    <row r="646" spans="1:4" s="1" customFormat="1" ht="19.75" customHeight="1" x14ac:dyDescent="0.25">
      <c r="A646" s="9">
        <f>2019</f>
        <v>2019</v>
      </c>
      <c r="B646" s="4" t="s">
        <v>104</v>
      </c>
      <c r="C646" s="5">
        <v>56.817799999999998</v>
      </c>
      <c r="D646" s="13">
        <v>37.955500000000001</v>
      </c>
    </row>
    <row r="647" spans="1:4" s="1" customFormat="1" ht="19.75" customHeight="1" x14ac:dyDescent="0.25">
      <c r="A647" s="9">
        <f>2019</f>
        <v>2019</v>
      </c>
      <c r="B647" s="4" t="s">
        <v>97</v>
      </c>
      <c r="C647" s="2">
        <v>150.601</v>
      </c>
      <c r="D647" s="14">
        <v>46.054099999999998</v>
      </c>
    </row>
    <row r="648" spans="1:4" s="1" customFormat="1" ht="19.75" customHeight="1" x14ac:dyDescent="0.25">
      <c r="A648" s="9">
        <f>2019</f>
        <v>2019</v>
      </c>
      <c r="B648" s="4" t="s">
        <v>118</v>
      </c>
      <c r="C648" s="5">
        <v>1606.5264</v>
      </c>
      <c r="D648" s="13">
        <v>1082.6075000000001</v>
      </c>
    </row>
    <row r="649" spans="1:4" s="1" customFormat="1" ht="19.75" customHeight="1" x14ac:dyDescent="0.25">
      <c r="A649" s="9">
        <f>2019</f>
        <v>2019</v>
      </c>
      <c r="B649" s="4" t="s">
        <v>114</v>
      </c>
      <c r="C649" s="2">
        <v>211.15110000000001</v>
      </c>
      <c r="D649" s="14">
        <v>132.16990000000001</v>
      </c>
    </row>
    <row r="650" spans="1:4" s="1" customFormat="1" ht="19.75" customHeight="1" x14ac:dyDescent="0.25">
      <c r="A650" s="9">
        <f>2019</f>
        <v>2019</v>
      </c>
      <c r="B650" s="4" t="s">
        <v>113</v>
      </c>
      <c r="C650" s="5">
        <v>960.20060000000001</v>
      </c>
      <c r="D650" s="13">
        <v>1008.4865</v>
      </c>
    </row>
    <row r="651" spans="1:4" s="1" customFormat="1" ht="19.75" customHeight="1" x14ac:dyDescent="0.25">
      <c r="A651" s="9">
        <f>2019</f>
        <v>2019</v>
      </c>
      <c r="B651" s="4" t="s">
        <v>121</v>
      </c>
      <c r="C651" s="2">
        <v>458.2817</v>
      </c>
      <c r="D651" s="14">
        <v>453.39420000000001</v>
      </c>
    </row>
    <row r="652" spans="1:4" s="1" customFormat="1" ht="19.75" customHeight="1" x14ac:dyDescent="0.25">
      <c r="A652" s="9">
        <f>2019</f>
        <v>2019</v>
      </c>
      <c r="B652" s="4" t="s">
        <v>117</v>
      </c>
      <c r="C652" s="5">
        <v>191.2921</v>
      </c>
      <c r="D652" s="13">
        <v>193.5299</v>
      </c>
    </row>
    <row r="653" spans="1:4" s="1" customFormat="1" ht="19.75" customHeight="1" x14ac:dyDescent="0.25">
      <c r="A653" s="9">
        <f>2019</f>
        <v>2019</v>
      </c>
      <c r="B653" s="4" t="s">
        <v>116</v>
      </c>
      <c r="C653" s="2">
        <v>725.19920000000002</v>
      </c>
      <c r="D653" s="14">
        <v>1003.3539</v>
      </c>
    </row>
    <row r="654" spans="1:4" s="1" customFormat="1" ht="19.75" customHeight="1" x14ac:dyDescent="0.25">
      <c r="A654" s="9">
        <f>2019</f>
        <v>2019</v>
      </c>
      <c r="B654" s="4" t="s">
        <v>115</v>
      </c>
      <c r="C654" s="5">
        <v>382.29379999999998</v>
      </c>
      <c r="D654" s="13">
        <v>326.26990000000001</v>
      </c>
    </row>
    <row r="655" spans="1:4" s="1" customFormat="1" ht="19.75" customHeight="1" x14ac:dyDescent="0.25">
      <c r="A655" s="9">
        <v>2018</v>
      </c>
      <c r="B655" s="4" t="s">
        <v>79</v>
      </c>
      <c r="C655" s="2">
        <v>11626.102699999999</v>
      </c>
      <c r="D655" s="14">
        <v>3986.6261</v>
      </c>
    </row>
    <row r="656" spans="1:4" s="1" customFormat="1" ht="19.75" customHeight="1" x14ac:dyDescent="0.25">
      <c r="A656" s="9">
        <v>2018</v>
      </c>
      <c r="B656" s="4" t="s">
        <v>78</v>
      </c>
      <c r="C656" s="5">
        <v>11639.7796</v>
      </c>
      <c r="D656" s="13">
        <v>3345.7885000000001</v>
      </c>
    </row>
    <row r="657" spans="1:4" s="1" customFormat="1" ht="19.75" customHeight="1" x14ac:dyDescent="0.25">
      <c r="A657" s="9">
        <v>2018</v>
      </c>
      <c r="B657" s="4" t="s">
        <v>77</v>
      </c>
      <c r="C657" s="2">
        <v>28126.766899999999</v>
      </c>
      <c r="D657" s="14">
        <v>10173.3696</v>
      </c>
    </row>
    <row r="658" spans="1:4" s="1" customFormat="1" ht="19.75" customHeight="1" x14ac:dyDescent="0.25">
      <c r="A658" s="9">
        <v>2018</v>
      </c>
      <c r="B658" s="4" t="s">
        <v>76</v>
      </c>
      <c r="C658" s="5">
        <v>27565.0707</v>
      </c>
      <c r="D658" s="13">
        <v>9101.1697999999997</v>
      </c>
    </row>
    <row r="659" spans="1:4" s="1" customFormat="1" ht="19.75" customHeight="1" x14ac:dyDescent="0.25">
      <c r="A659" s="9">
        <v>2018</v>
      </c>
      <c r="B659" s="4" t="s">
        <v>75</v>
      </c>
      <c r="C659" s="2">
        <v>7706.6786000000002</v>
      </c>
      <c r="D659" s="14">
        <v>2704.3879000000002</v>
      </c>
    </row>
    <row r="660" spans="1:4" s="1" customFormat="1" ht="19.75" customHeight="1" x14ac:dyDescent="0.25">
      <c r="A660" s="9">
        <v>2018</v>
      </c>
      <c r="B660" s="4" t="s">
        <v>74</v>
      </c>
      <c r="C660" s="5">
        <v>29088.762500000001</v>
      </c>
      <c r="D660" s="13">
        <v>9557.9354000000003</v>
      </c>
    </row>
    <row r="661" spans="1:4" s="1" customFormat="1" ht="19.75" customHeight="1" x14ac:dyDescent="0.25">
      <c r="A661" s="9">
        <v>2018</v>
      </c>
      <c r="B661" s="4" t="s">
        <v>73</v>
      </c>
      <c r="C661" s="2">
        <v>17518.507900000001</v>
      </c>
      <c r="D661" s="14">
        <v>6406.3689000000004</v>
      </c>
    </row>
    <row r="662" spans="1:4" s="1" customFormat="1" ht="19.75" customHeight="1" x14ac:dyDescent="0.25">
      <c r="A662" s="9">
        <v>2018</v>
      </c>
      <c r="B662" s="4" t="s">
        <v>72</v>
      </c>
      <c r="C662" s="5">
        <v>12790.1086</v>
      </c>
      <c r="D662" s="13">
        <v>3200.8885</v>
      </c>
    </row>
    <row r="663" spans="1:4" s="1" customFormat="1" ht="19.75" customHeight="1" x14ac:dyDescent="0.25">
      <c r="A663" s="9">
        <v>2018</v>
      </c>
      <c r="B663" s="4" t="s">
        <v>71</v>
      </c>
      <c r="C663" s="2">
        <v>6456.4120000000003</v>
      </c>
      <c r="D663" s="14">
        <v>2468.1767</v>
      </c>
    </row>
    <row r="664" spans="1:4" s="1" customFormat="1" ht="19.75" customHeight="1" x14ac:dyDescent="0.25">
      <c r="A664" s="9">
        <v>2018</v>
      </c>
      <c r="B664" s="4" t="s">
        <v>92</v>
      </c>
      <c r="C664" s="5">
        <v>17386.208299999998</v>
      </c>
      <c r="D664" s="13">
        <v>4744.6876000000002</v>
      </c>
    </row>
    <row r="665" spans="1:4" s="1" customFormat="1" ht="19.75" customHeight="1" x14ac:dyDescent="0.25">
      <c r="A665" s="9">
        <v>2018</v>
      </c>
      <c r="B665" s="4" t="s">
        <v>69</v>
      </c>
      <c r="C665" s="2">
        <v>10850.0931</v>
      </c>
      <c r="D665" s="14">
        <v>3668.4013</v>
      </c>
    </row>
    <row r="666" spans="1:4" s="1" customFormat="1" ht="19.75" customHeight="1" x14ac:dyDescent="0.25">
      <c r="A666" s="9">
        <v>2018</v>
      </c>
      <c r="B666" s="4" t="s">
        <v>68</v>
      </c>
      <c r="C666" s="5">
        <v>12447.6391</v>
      </c>
      <c r="D666" s="13">
        <v>5584.9254000000001</v>
      </c>
    </row>
    <row r="667" spans="1:4" s="1" customFormat="1" ht="19.75" customHeight="1" x14ac:dyDescent="0.25">
      <c r="A667" s="9">
        <v>2018</v>
      </c>
      <c r="B667" s="4" t="s">
        <v>67</v>
      </c>
      <c r="C667" s="2">
        <v>12888.130499999999</v>
      </c>
      <c r="D667" s="14">
        <v>3589.9467</v>
      </c>
    </row>
    <row r="668" spans="1:4" s="1" customFormat="1" ht="19.75" customHeight="1" x14ac:dyDescent="0.25">
      <c r="A668" s="9">
        <v>2018</v>
      </c>
      <c r="B668" s="4" t="s">
        <v>66</v>
      </c>
      <c r="C668" s="5">
        <v>5713.5565999999999</v>
      </c>
      <c r="D668" s="13">
        <v>1671.6836000000001</v>
      </c>
    </row>
    <row r="669" spans="1:4" s="1" customFormat="1" ht="19.75" customHeight="1" x14ac:dyDescent="0.25">
      <c r="A669" s="9">
        <v>2018</v>
      </c>
      <c r="B669" s="4" t="s">
        <v>65</v>
      </c>
      <c r="C669" s="2">
        <v>33073.364300000001</v>
      </c>
      <c r="D669" s="14">
        <v>13509.073</v>
      </c>
    </row>
    <row r="670" spans="1:4" s="1" customFormat="1" ht="19.75" customHeight="1" x14ac:dyDescent="0.25">
      <c r="A670" s="9">
        <v>2018</v>
      </c>
      <c r="B670" s="4" t="s">
        <v>85</v>
      </c>
      <c r="C670" s="5">
        <v>145645.6</v>
      </c>
      <c r="D670" s="13">
        <v>59943.446400000001</v>
      </c>
    </row>
    <row r="671" spans="1:4" s="1" customFormat="1" ht="19.75" customHeight="1" x14ac:dyDescent="0.25">
      <c r="A671" s="9">
        <v>2018</v>
      </c>
      <c r="B671" s="4" t="s">
        <v>64</v>
      </c>
      <c r="C671" s="2">
        <v>15223.930399999999</v>
      </c>
      <c r="D671" s="14">
        <v>5494.0649999999996</v>
      </c>
    </row>
    <row r="672" spans="1:4" s="1" customFormat="1" ht="19.75" customHeight="1" x14ac:dyDescent="0.25">
      <c r="A672" s="9">
        <v>2018</v>
      </c>
      <c r="B672" s="4" t="s">
        <v>63</v>
      </c>
      <c r="C672" s="5">
        <v>10895.4025</v>
      </c>
      <c r="D672" s="13">
        <v>2911.4857999999999</v>
      </c>
    </row>
    <row r="673" spans="1:4" s="1" customFormat="1" ht="19.75" customHeight="1" x14ac:dyDescent="0.25">
      <c r="A673" s="9">
        <v>2018</v>
      </c>
      <c r="B673" s="4" t="s">
        <v>62</v>
      </c>
      <c r="C673" s="2">
        <v>23443.335999999999</v>
      </c>
      <c r="D673" s="14">
        <v>6654.9560000000001</v>
      </c>
    </row>
    <row r="674" spans="1:4" s="1" customFormat="1" ht="19.75" customHeight="1" x14ac:dyDescent="0.25">
      <c r="A674" s="9">
        <v>2018</v>
      </c>
      <c r="B674" s="4" t="s">
        <v>61</v>
      </c>
      <c r="C674" s="5">
        <v>6848.7578999999996</v>
      </c>
      <c r="D674" s="13">
        <v>2683.3782000000001</v>
      </c>
    </row>
    <row r="675" spans="1:4" s="1" customFormat="1" ht="19.75" customHeight="1" x14ac:dyDescent="0.25">
      <c r="A675" s="9">
        <v>2018</v>
      </c>
      <c r="B675" s="4" t="s">
        <v>60</v>
      </c>
      <c r="C675" s="2">
        <v>8286.9547000000002</v>
      </c>
      <c r="D675" s="14">
        <v>2805.6956</v>
      </c>
    </row>
    <row r="676" spans="1:4" s="1" customFormat="1" ht="19.75" customHeight="1" x14ac:dyDescent="0.25">
      <c r="A676" s="9">
        <v>2018</v>
      </c>
      <c r="B676" s="4" t="s">
        <v>59</v>
      </c>
      <c r="C676" s="5">
        <v>27162.5818</v>
      </c>
      <c r="D676" s="13">
        <v>13990.3398</v>
      </c>
    </row>
    <row r="677" spans="1:4" s="1" customFormat="1" ht="19.75" customHeight="1" x14ac:dyDescent="0.25">
      <c r="A677" s="9">
        <v>2018</v>
      </c>
      <c r="B677" s="4" t="s">
        <v>112</v>
      </c>
      <c r="C677" s="2">
        <v>1770.060401</v>
      </c>
      <c r="D677" s="14">
        <v>1308.31034</v>
      </c>
    </row>
    <row r="678" spans="1:4" s="1" customFormat="1" ht="19.75" customHeight="1" x14ac:dyDescent="0.25">
      <c r="A678" s="9">
        <v>2018</v>
      </c>
      <c r="B678" s="4" t="s">
        <v>54</v>
      </c>
      <c r="C678" s="5">
        <v>1972.1212</v>
      </c>
      <c r="D678" s="13">
        <v>754.64869999999996</v>
      </c>
    </row>
    <row r="679" spans="1:4" s="1" customFormat="1" ht="19.75" customHeight="1" x14ac:dyDescent="0.25">
      <c r="A679" s="9">
        <v>2018</v>
      </c>
      <c r="B679" s="4" t="s">
        <v>53</v>
      </c>
      <c r="C679" s="2">
        <v>912.00049999999999</v>
      </c>
      <c r="D679" s="14">
        <v>435.89870000000002</v>
      </c>
    </row>
    <row r="680" spans="1:4" s="1" customFormat="1" ht="19.75" customHeight="1" x14ac:dyDescent="0.25">
      <c r="A680" s="9">
        <v>2018</v>
      </c>
      <c r="B680" s="4" t="s">
        <v>52</v>
      </c>
      <c r="C680" s="5">
        <v>1417.5583999999999</v>
      </c>
      <c r="D680" s="13">
        <v>780.73159999999996</v>
      </c>
    </row>
    <row r="681" spans="1:4" s="1" customFormat="1" ht="19.75" customHeight="1" x14ac:dyDescent="0.25">
      <c r="A681" s="9">
        <v>2018</v>
      </c>
      <c r="B681" s="4" t="s">
        <v>51</v>
      </c>
      <c r="C681" s="2">
        <v>667.51700000000005</v>
      </c>
      <c r="D681" s="14">
        <v>302.08769999999998</v>
      </c>
    </row>
    <row r="682" spans="1:4" s="1" customFormat="1" ht="19.75" customHeight="1" x14ac:dyDescent="0.25">
      <c r="A682" s="9">
        <v>2018</v>
      </c>
      <c r="B682" s="4" t="s">
        <v>50</v>
      </c>
      <c r="C682" s="5">
        <v>6170.0537000000004</v>
      </c>
      <c r="D682" s="13">
        <v>2450.9004</v>
      </c>
    </row>
    <row r="683" spans="1:4" s="1" customFormat="1" ht="19.75" customHeight="1" x14ac:dyDescent="0.25">
      <c r="A683" s="9">
        <v>2018</v>
      </c>
      <c r="B683" s="4" t="s">
        <v>48</v>
      </c>
      <c r="C683" s="2">
        <v>40146.491300000002</v>
      </c>
      <c r="D683" s="14">
        <v>22690.382099999999</v>
      </c>
    </row>
    <row r="684" spans="1:4" s="1" customFormat="1" ht="19.75" customHeight="1" x14ac:dyDescent="0.25">
      <c r="A684" s="9">
        <v>2018</v>
      </c>
      <c r="B684" s="4" t="s">
        <v>47</v>
      </c>
      <c r="C684" s="5">
        <v>31940.046300000002</v>
      </c>
      <c r="D684" s="13">
        <v>15703.943600000001</v>
      </c>
    </row>
    <row r="685" spans="1:4" s="1" customFormat="1" ht="19.75" customHeight="1" x14ac:dyDescent="0.25">
      <c r="A685" s="9">
        <v>2018</v>
      </c>
      <c r="B685" s="4" t="s">
        <v>111</v>
      </c>
      <c r="C685" s="2">
        <v>7131.9074000000001</v>
      </c>
      <c r="D685" s="14">
        <v>1652.5943</v>
      </c>
    </row>
    <row r="686" spans="1:4" s="1" customFormat="1" ht="19.75" customHeight="1" x14ac:dyDescent="0.25">
      <c r="A686" s="9">
        <v>2018</v>
      </c>
      <c r="B686" s="4" t="s">
        <v>46</v>
      </c>
      <c r="C686" s="5">
        <v>9783.3045000000002</v>
      </c>
      <c r="D686" s="13">
        <v>5591.4435999999996</v>
      </c>
    </row>
    <row r="687" spans="1:4" s="1" customFormat="1" ht="19.75" customHeight="1" x14ac:dyDescent="0.25">
      <c r="A687" s="9">
        <v>2018</v>
      </c>
      <c r="B687" s="4" t="s">
        <v>44</v>
      </c>
      <c r="C687" s="2">
        <v>3750.6053999999999</v>
      </c>
      <c r="D687" s="14">
        <v>1984.2255</v>
      </c>
    </row>
    <row r="688" spans="1:4" s="1" customFormat="1" ht="19.75" customHeight="1" x14ac:dyDescent="0.25">
      <c r="A688" s="9">
        <v>2018</v>
      </c>
      <c r="B688" s="4" t="s">
        <v>43</v>
      </c>
      <c r="C688" s="5">
        <v>3566.0974999999999</v>
      </c>
      <c r="D688" s="13">
        <v>1338.825</v>
      </c>
    </row>
    <row r="689" spans="1:4" s="1" customFormat="1" ht="19.75" customHeight="1" x14ac:dyDescent="0.25">
      <c r="A689" s="9">
        <v>2018</v>
      </c>
      <c r="B689" s="4" t="s">
        <v>42</v>
      </c>
      <c r="C689" s="2">
        <v>3401.5390000000002</v>
      </c>
      <c r="D689" s="14">
        <v>1420.7224000000001</v>
      </c>
    </row>
    <row r="690" spans="1:4" s="1" customFormat="1" ht="19.75" customHeight="1" x14ac:dyDescent="0.25">
      <c r="A690" s="9">
        <v>2018</v>
      </c>
      <c r="B690" s="4" t="s">
        <v>41</v>
      </c>
      <c r="C690" s="5">
        <v>10216.807699999999</v>
      </c>
      <c r="D690" s="13">
        <v>6425.7223000000004</v>
      </c>
    </row>
    <row r="691" spans="1:4" s="1" customFormat="1" ht="19.75" customHeight="1" x14ac:dyDescent="0.25">
      <c r="A691" s="9">
        <v>2018</v>
      </c>
      <c r="B691" s="4" t="s">
        <v>40</v>
      </c>
      <c r="C691" s="2">
        <v>2251.0210000000002</v>
      </c>
      <c r="D691" s="14">
        <v>782.02970000000005</v>
      </c>
    </row>
    <row r="692" spans="1:4" s="1" customFormat="1" ht="19.75" customHeight="1" x14ac:dyDescent="0.25">
      <c r="A692" s="9">
        <v>2018</v>
      </c>
      <c r="B692" s="4" t="s">
        <v>38</v>
      </c>
      <c r="C692" s="5">
        <v>411.41140000000001</v>
      </c>
      <c r="D692" s="13">
        <v>143.67439999999999</v>
      </c>
    </row>
    <row r="693" spans="1:4" s="1" customFormat="1" ht="19.75" customHeight="1" x14ac:dyDescent="0.25">
      <c r="A693" s="9">
        <v>2018</v>
      </c>
      <c r="B693" s="4" t="s">
        <v>37</v>
      </c>
      <c r="C693" s="2">
        <v>2741.2809999999999</v>
      </c>
      <c r="D693" s="14">
        <v>1503.4079999999999</v>
      </c>
    </row>
    <row r="694" spans="1:4" s="1" customFormat="1" ht="19.75" customHeight="1" x14ac:dyDescent="0.25">
      <c r="A694" s="9">
        <v>2018</v>
      </c>
      <c r="B694" s="4" t="s">
        <v>34</v>
      </c>
      <c r="C694" s="5">
        <v>4227.2874000000002</v>
      </c>
      <c r="D694" s="13">
        <v>1321.9768999999999</v>
      </c>
    </row>
    <row r="695" spans="1:4" s="1" customFormat="1" ht="19.75" customHeight="1" x14ac:dyDescent="0.25">
      <c r="A695" s="9">
        <v>2018</v>
      </c>
      <c r="B695" s="4" t="s">
        <v>33</v>
      </c>
      <c r="C695" s="2">
        <v>2040.7554</v>
      </c>
      <c r="D695" s="14">
        <v>709.8578</v>
      </c>
    </row>
    <row r="696" spans="1:4" s="1" customFormat="1" ht="19.75" customHeight="1" x14ac:dyDescent="0.25">
      <c r="A696" s="9">
        <v>2018</v>
      </c>
      <c r="B696" s="4" t="s">
        <v>31</v>
      </c>
      <c r="C696" s="5">
        <v>12530.3624</v>
      </c>
      <c r="D696" s="13">
        <v>5212.7798000000003</v>
      </c>
    </row>
    <row r="697" spans="1:4" s="1" customFormat="1" ht="19.75" customHeight="1" x14ac:dyDescent="0.25">
      <c r="A697" s="9">
        <v>2018</v>
      </c>
      <c r="B697" s="4" t="s">
        <v>30</v>
      </c>
      <c r="C697" s="2">
        <v>1.7747999999999999</v>
      </c>
      <c r="D697" s="14">
        <v>15.114000000000001</v>
      </c>
    </row>
    <row r="698" spans="1:4" s="1" customFormat="1" ht="19.75" customHeight="1" x14ac:dyDescent="0.25">
      <c r="A698" s="9">
        <v>2018</v>
      </c>
      <c r="B698" s="4" t="s">
        <v>29</v>
      </c>
      <c r="C698" s="5">
        <v>125.6113</v>
      </c>
      <c r="D698" s="13">
        <v>43.772500000000001</v>
      </c>
    </row>
    <row r="699" spans="1:4" s="1" customFormat="1" ht="19.75" customHeight="1" x14ac:dyDescent="0.25">
      <c r="A699" s="9">
        <v>2018</v>
      </c>
      <c r="B699" s="4" t="s">
        <v>91</v>
      </c>
      <c r="C699" s="2">
        <v>125.8108</v>
      </c>
      <c r="D699" s="14">
        <v>1225.6795</v>
      </c>
    </row>
    <row r="700" spans="1:4" s="1" customFormat="1" ht="19.75" customHeight="1" x14ac:dyDescent="0.25">
      <c r="A700" s="9">
        <v>2018</v>
      </c>
      <c r="B700" s="4" t="s">
        <v>103</v>
      </c>
      <c r="C700" s="5">
        <v>158.03909999999999</v>
      </c>
      <c r="D700" s="13">
        <v>142.6028</v>
      </c>
    </row>
    <row r="701" spans="1:4" s="1" customFormat="1" ht="19.75" customHeight="1" x14ac:dyDescent="0.25">
      <c r="A701" s="9">
        <v>2018</v>
      </c>
      <c r="B701" s="4" t="s">
        <v>27</v>
      </c>
      <c r="C701" s="2">
        <v>771.77290000000005</v>
      </c>
      <c r="D701" s="14">
        <v>676.68299999999999</v>
      </c>
    </row>
    <row r="702" spans="1:4" s="1" customFormat="1" ht="19.75" customHeight="1" x14ac:dyDescent="0.25">
      <c r="A702" s="9">
        <v>2018</v>
      </c>
      <c r="B702" s="4" t="s">
        <v>26</v>
      </c>
      <c r="C702" s="5">
        <v>83.085400000000007</v>
      </c>
      <c r="D702" s="13">
        <v>34.726399999999998</v>
      </c>
    </row>
    <row r="703" spans="1:4" s="1" customFormat="1" ht="19.75" customHeight="1" x14ac:dyDescent="0.25">
      <c r="A703" s="9">
        <v>2018</v>
      </c>
      <c r="B703" s="4" t="s">
        <v>25</v>
      </c>
      <c r="C703" s="2">
        <v>10.679500000000001</v>
      </c>
      <c r="D703" s="14">
        <v>7.0140000000000002</v>
      </c>
    </row>
    <row r="704" spans="1:4" s="1" customFormat="1" ht="19.75" customHeight="1" x14ac:dyDescent="0.25">
      <c r="A704" s="9">
        <v>2018</v>
      </c>
      <c r="B704" s="4" t="s">
        <v>24</v>
      </c>
      <c r="C704" s="5">
        <v>181.2099</v>
      </c>
      <c r="D704" s="13">
        <v>98.359499999999997</v>
      </c>
    </row>
    <row r="705" spans="1:4" s="1" customFormat="1" ht="19.75" customHeight="1" x14ac:dyDescent="0.25">
      <c r="A705" s="9">
        <v>2018</v>
      </c>
      <c r="B705" s="4" t="s">
        <v>23</v>
      </c>
      <c r="C705" s="2">
        <v>492.858</v>
      </c>
      <c r="D705" s="14">
        <v>443.01690000000002</v>
      </c>
    </row>
    <row r="706" spans="1:4" s="1" customFormat="1" ht="19.75" customHeight="1" x14ac:dyDescent="0.25">
      <c r="A706" s="9">
        <v>2018</v>
      </c>
      <c r="B706" s="4" t="s">
        <v>22</v>
      </c>
      <c r="C706" s="5">
        <v>1256.8381999999999</v>
      </c>
      <c r="D706" s="13">
        <v>497.75720000000001</v>
      </c>
    </row>
    <row r="707" spans="1:4" s="1" customFormat="1" ht="19.75" customHeight="1" x14ac:dyDescent="0.25">
      <c r="A707" s="9">
        <v>2018</v>
      </c>
      <c r="B707" s="4" t="s">
        <v>21</v>
      </c>
      <c r="C707" s="2">
        <v>3086.95</v>
      </c>
      <c r="D707" s="14">
        <v>3990.26</v>
      </c>
    </row>
    <row r="708" spans="1:4" s="1" customFormat="1" ht="19.75" customHeight="1" x14ac:dyDescent="0.25">
      <c r="A708" s="9">
        <v>2018</v>
      </c>
      <c r="B708" s="4" t="s">
        <v>102</v>
      </c>
      <c r="C708" s="5">
        <v>125.5087</v>
      </c>
      <c r="D708" s="13">
        <v>86.639099999999999</v>
      </c>
    </row>
    <row r="709" spans="1:4" s="1" customFormat="1" ht="19.75" customHeight="1" x14ac:dyDescent="0.25">
      <c r="A709" s="9">
        <v>2018</v>
      </c>
      <c r="B709" s="4" t="s">
        <v>20</v>
      </c>
      <c r="C709" s="2">
        <v>218.88939999999999</v>
      </c>
      <c r="D709" s="14">
        <v>131.1001</v>
      </c>
    </row>
    <row r="710" spans="1:4" s="1" customFormat="1" ht="19.75" customHeight="1" x14ac:dyDescent="0.25">
      <c r="A710" s="9">
        <v>2018</v>
      </c>
      <c r="B710" s="4" t="s">
        <v>101</v>
      </c>
      <c r="C710" s="5">
        <v>147.72110000000001</v>
      </c>
      <c r="D710" s="13">
        <v>75.345699999999994</v>
      </c>
    </row>
    <row r="711" spans="1:4" s="1" customFormat="1" ht="19.75" customHeight="1" x14ac:dyDescent="0.25">
      <c r="A711" s="9">
        <v>2018</v>
      </c>
      <c r="B711" s="4" t="s">
        <v>19</v>
      </c>
      <c r="C711" s="2">
        <v>21.481100000000001</v>
      </c>
      <c r="D711" s="14">
        <v>40.571100000000001</v>
      </c>
    </row>
    <row r="712" spans="1:4" s="1" customFormat="1" ht="19.75" customHeight="1" x14ac:dyDescent="0.25">
      <c r="A712" s="9">
        <v>2018</v>
      </c>
      <c r="B712" s="4" t="s">
        <v>18</v>
      </c>
      <c r="C712" s="5">
        <v>1837.4894999999999</v>
      </c>
      <c r="D712" s="13">
        <v>948.83090000000004</v>
      </c>
    </row>
    <row r="713" spans="1:4" s="1" customFormat="1" ht="19.75" customHeight="1" x14ac:dyDescent="0.25">
      <c r="A713" s="9">
        <v>2018</v>
      </c>
      <c r="B713" s="4" t="s">
        <v>17</v>
      </c>
      <c r="C713" s="2">
        <v>2081.2887000000001</v>
      </c>
      <c r="D713" s="14">
        <v>1672.6311000000001</v>
      </c>
    </row>
    <row r="714" spans="1:4" s="1" customFormat="1" ht="19.75" customHeight="1" x14ac:dyDescent="0.25">
      <c r="A714" s="9">
        <v>2018</v>
      </c>
      <c r="B714" s="4" t="s">
        <v>107</v>
      </c>
      <c r="C714" s="5">
        <v>39.011000000000003</v>
      </c>
      <c r="D714" s="13">
        <v>39.288400000000003</v>
      </c>
    </row>
    <row r="715" spans="1:4" s="1" customFormat="1" ht="19.75" customHeight="1" x14ac:dyDescent="0.25">
      <c r="A715" s="9">
        <v>2018</v>
      </c>
      <c r="B715" s="4" t="s">
        <v>120</v>
      </c>
      <c r="C715" s="2">
        <v>1.5033000000000001</v>
      </c>
      <c r="D715" s="14">
        <v>45.145000000000003</v>
      </c>
    </row>
    <row r="716" spans="1:4" s="1" customFormat="1" ht="19.75" customHeight="1" x14ac:dyDescent="0.25">
      <c r="A716" s="9">
        <v>2018</v>
      </c>
      <c r="B716" s="4" t="s">
        <v>110</v>
      </c>
      <c r="C716" s="5">
        <v>2.3208000000000002</v>
      </c>
      <c r="D716" s="13">
        <v>47.974899999999998</v>
      </c>
    </row>
    <row r="717" spans="1:4" s="1" customFormat="1" ht="19.75" customHeight="1" x14ac:dyDescent="0.25">
      <c r="A717" s="9">
        <v>2018</v>
      </c>
      <c r="B717" s="4" t="s">
        <v>94</v>
      </c>
      <c r="C717" s="2">
        <v>50.3446</v>
      </c>
      <c r="D717" s="14">
        <v>75.356999999999999</v>
      </c>
    </row>
    <row r="718" spans="1:4" s="1" customFormat="1" ht="19.75" customHeight="1" x14ac:dyDescent="0.25">
      <c r="A718" s="9">
        <v>2018</v>
      </c>
      <c r="B718" s="4" t="s">
        <v>16</v>
      </c>
      <c r="C718" s="5">
        <v>3553.5128</v>
      </c>
      <c r="D718" s="13">
        <v>2643.4288000000001</v>
      </c>
    </row>
    <row r="719" spans="1:4" s="1" customFormat="1" ht="19.75" customHeight="1" x14ac:dyDescent="0.25">
      <c r="A719" s="9">
        <v>2018</v>
      </c>
      <c r="B719" s="4" t="s">
        <v>100</v>
      </c>
      <c r="C719" s="2">
        <v>105.2921</v>
      </c>
      <c r="D719" s="14">
        <v>43.007300000000001</v>
      </c>
    </row>
    <row r="720" spans="1:4" s="1" customFormat="1" ht="19.75" customHeight="1" x14ac:dyDescent="0.25">
      <c r="A720" s="9">
        <v>2018</v>
      </c>
      <c r="B720" s="4" t="s">
        <v>109</v>
      </c>
      <c r="C720" s="5">
        <v>2.1922000000000001</v>
      </c>
      <c r="D720" s="13">
        <v>13.136100000000001</v>
      </c>
    </row>
    <row r="721" spans="1:4" s="1" customFormat="1" ht="19.75" customHeight="1" x14ac:dyDescent="0.25">
      <c r="A721" s="9">
        <v>2018</v>
      </c>
      <c r="B721" s="4" t="s">
        <v>13</v>
      </c>
      <c r="C721" s="2">
        <v>593.07960000000003</v>
      </c>
      <c r="D721" s="14">
        <v>320.36360000000002</v>
      </c>
    </row>
    <row r="722" spans="1:4" s="1" customFormat="1" ht="19.75" customHeight="1" x14ac:dyDescent="0.25">
      <c r="A722" s="9">
        <v>2018</v>
      </c>
      <c r="B722" s="4" t="s">
        <v>90</v>
      </c>
      <c r="C722" s="6"/>
      <c r="D722" s="13">
        <v>13.572100000000001</v>
      </c>
    </row>
    <row r="723" spans="1:4" s="1" customFormat="1" ht="19.75" customHeight="1" x14ac:dyDescent="0.25">
      <c r="A723" s="9">
        <v>2018</v>
      </c>
      <c r="B723" s="4" t="s">
        <v>108</v>
      </c>
      <c r="C723" s="2">
        <v>15.2399</v>
      </c>
      <c r="D723" s="14">
        <v>15.2264</v>
      </c>
    </row>
    <row r="724" spans="1:4" s="1" customFormat="1" ht="19.75" customHeight="1" x14ac:dyDescent="0.25">
      <c r="A724" s="9">
        <v>2018</v>
      </c>
      <c r="B724" s="4" t="s">
        <v>11</v>
      </c>
      <c r="C724" s="5">
        <v>13.754300000000001</v>
      </c>
      <c r="D724" s="13">
        <v>3.7822</v>
      </c>
    </row>
    <row r="725" spans="1:4" s="1" customFormat="1" ht="19.75" customHeight="1" x14ac:dyDescent="0.25">
      <c r="A725" s="9">
        <v>2018</v>
      </c>
      <c r="B725" s="4" t="s">
        <v>10</v>
      </c>
      <c r="C725" s="2">
        <v>2.077</v>
      </c>
      <c r="D725" s="14">
        <v>21.887</v>
      </c>
    </row>
    <row r="726" spans="1:4" s="1" customFormat="1" ht="19.75" customHeight="1" x14ac:dyDescent="0.25">
      <c r="A726" s="9">
        <v>2018</v>
      </c>
      <c r="B726" s="4" t="s">
        <v>9</v>
      </c>
      <c r="C726" s="5">
        <v>348.92149999999998</v>
      </c>
      <c r="D726" s="13">
        <v>248.91550000000001</v>
      </c>
    </row>
    <row r="727" spans="1:4" s="1" customFormat="1" ht="19.75" customHeight="1" x14ac:dyDescent="0.25">
      <c r="A727" s="9">
        <v>2018</v>
      </c>
      <c r="B727" s="4" t="s">
        <v>8</v>
      </c>
      <c r="C727" s="2">
        <v>737.19730000000004</v>
      </c>
      <c r="D727" s="14">
        <v>254.43219999999999</v>
      </c>
    </row>
    <row r="728" spans="1:4" s="1" customFormat="1" ht="19.75" customHeight="1" x14ac:dyDescent="0.25">
      <c r="A728" s="9">
        <v>2018</v>
      </c>
      <c r="B728" s="4" t="s">
        <v>99</v>
      </c>
      <c r="C728" s="5">
        <v>3.3085</v>
      </c>
      <c r="D728" s="13">
        <v>32.590000000000003</v>
      </c>
    </row>
    <row r="729" spans="1:4" s="1" customFormat="1" ht="19.75" customHeight="1" x14ac:dyDescent="0.25">
      <c r="A729" s="9">
        <v>2018</v>
      </c>
      <c r="B729" s="4" t="s">
        <v>7</v>
      </c>
      <c r="C729" s="2">
        <v>3.0543</v>
      </c>
      <c r="D729" s="14">
        <v>18.786200000000001</v>
      </c>
    </row>
    <row r="730" spans="1:4" s="1" customFormat="1" ht="19.75" customHeight="1" x14ac:dyDescent="0.25">
      <c r="A730" s="9">
        <v>2018</v>
      </c>
      <c r="B730" s="4" t="s">
        <v>119</v>
      </c>
      <c r="C730" s="5">
        <v>0.69340000000000002</v>
      </c>
      <c r="D730" s="13">
        <v>19.211300000000001</v>
      </c>
    </row>
    <row r="731" spans="1:4" s="1" customFormat="1" ht="19.75" customHeight="1" x14ac:dyDescent="0.25">
      <c r="A731" s="9">
        <v>2018</v>
      </c>
      <c r="B731" s="4" t="s">
        <v>98</v>
      </c>
      <c r="C731" s="2">
        <v>0.59970000000000001</v>
      </c>
      <c r="D731" s="14">
        <v>17.023900000000001</v>
      </c>
    </row>
    <row r="732" spans="1:4" s="1" customFormat="1" ht="19.75" customHeight="1" x14ac:dyDescent="0.25">
      <c r="A732" s="9">
        <v>2018</v>
      </c>
      <c r="B732" s="4" t="s">
        <v>6</v>
      </c>
      <c r="C732" s="5">
        <v>86.500799999999998</v>
      </c>
      <c r="D732" s="13">
        <v>28.4255</v>
      </c>
    </row>
    <row r="733" spans="1:4" s="1" customFormat="1" ht="19.75" customHeight="1" x14ac:dyDescent="0.25">
      <c r="A733" s="9">
        <v>2018</v>
      </c>
      <c r="B733" s="4" t="s">
        <v>5</v>
      </c>
      <c r="C733" s="2">
        <v>364.3759</v>
      </c>
      <c r="D733" s="14">
        <v>95.492400000000004</v>
      </c>
    </row>
    <row r="734" spans="1:4" s="1" customFormat="1" ht="19.75" customHeight="1" x14ac:dyDescent="0.25">
      <c r="A734" s="9">
        <v>2018</v>
      </c>
      <c r="B734" s="4" t="s">
        <v>4</v>
      </c>
      <c r="C734" s="5">
        <v>124.741</v>
      </c>
      <c r="D734" s="13">
        <v>117.71559999999999</v>
      </c>
    </row>
    <row r="735" spans="1:4" s="1" customFormat="1" ht="19.75" customHeight="1" x14ac:dyDescent="0.25">
      <c r="A735" s="9">
        <v>2018</v>
      </c>
      <c r="B735" s="4" t="s">
        <v>3</v>
      </c>
      <c r="C735" s="2">
        <v>2.0988000000000002</v>
      </c>
      <c r="D735" s="14">
        <v>7.2769000000000004</v>
      </c>
    </row>
    <row r="736" spans="1:4" s="1" customFormat="1" ht="19.75" customHeight="1" x14ac:dyDescent="0.25">
      <c r="A736" s="9">
        <v>2018</v>
      </c>
      <c r="B736" s="4" t="s">
        <v>2</v>
      </c>
      <c r="C736" s="5">
        <v>4015.5677999999998</v>
      </c>
      <c r="D736" s="13">
        <v>3328.1862000000001</v>
      </c>
    </row>
    <row r="737" spans="1:4" s="1" customFormat="1" ht="19.75" customHeight="1" x14ac:dyDescent="0.25">
      <c r="A737" s="9">
        <v>2018</v>
      </c>
      <c r="B737" s="4" t="s">
        <v>105</v>
      </c>
      <c r="C737" s="2">
        <v>433.89729999999997</v>
      </c>
      <c r="D737" s="14">
        <v>133.1808</v>
      </c>
    </row>
    <row r="738" spans="1:4" s="1" customFormat="1" ht="19.75" customHeight="1" x14ac:dyDescent="0.25">
      <c r="A738" s="9">
        <v>2018</v>
      </c>
      <c r="B738" s="4" t="s">
        <v>93</v>
      </c>
      <c r="C738" s="5">
        <v>75.356200000000001</v>
      </c>
      <c r="D738" s="13">
        <v>194.81549999999999</v>
      </c>
    </row>
    <row r="739" spans="1:4" s="1" customFormat="1" ht="19.75" customHeight="1" x14ac:dyDescent="0.25">
      <c r="A739" s="9">
        <v>2018</v>
      </c>
      <c r="B739" s="4" t="s">
        <v>95</v>
      </c>
      <c r="C739" s="2">
        <v>18.1538</v>
      </c>
      <c r="D739" s="14">
        <v>23.771599999999999</v>
      </c>
    </row>
    <row r="740" spans="1:4" s="1" customFormat="1" ht="19.75" customHeight="1" x14ac:dyDescent="0.25">
      <c r="A740" s="9">
        <v>2018</v>
      </c>
      <c r="B740" s="4" t="s">
        <v>104</v>
      </c>
      <c r="C740" s="5">
        <v>46.957299999999996</v>
      </c>
      <c r="D740" s="13">
        <v>39.557400000000001</v>
      </c>
    </row>
    <row r="741" spans="1:4" s="1" customFormat="1" ht="19.75" customHeight="1" x14ac:dyDescent="0.25">
      <c r="A741" s="9">
        <v>2018</v>
      </c>
      <c r="B741" s="4" t="s">
        <v>97</v>
      </c>
      <c r="C741" s="2">
        <v>55.296599999999998</v>
      </c>
      <c r="D741" s="14">
        <v>39.103999999999999</v>
      </c>
    </row>
    <row r="742" spans="1:4" s="1" customFormat="1" ht="19.75" customHeight="1" x14ac:dyDescent="0.25">
      <c r="A742" s="9">
        <v>2018</v>
      </c>
      <c r="B742" s="4" t="s">
        <v>118</v>
      </c>
      <c r="C742" s="5">
        <v>826.72850000000005</v>
      </c>
      <c r="D742" s="13">
        <v>752.60919999999999</v>
      </c>
    </row>
    <row r="743" spans="1:4" s="1" customFormat="1" ht="19.75" customHeight="1" x14ac:dyDescent="0.25">
      <c r="A743" s="9">
        <v>2018</v>
      </c>
      <c r="B743" s="4" t="s">
        <v>114</v>
      </c>
      <c r="C743" s="2">
        <v>166.48660000000001</v>
      </c>
      <c r="D743" s="14">
        <v>94.683800000000005</v>
      </c>
    </row>
    <row r="744" spans="1:4" s="1" customFormat="1" ht="19.75" customHeight="1" x14ac:dyDescent="0.25">
      <c r="A744" s="9">
        <v>2018</v>
      </c>
      <c r="B744" s="4" t="s">
        <v>113</v>
      </c>
      <c r="C744" s="5">
        <v>682.17200000000003</v>
      </c>
      <c r="D744" s="13">
        <v>881.11189999999999</v>
      </c>
    </row>
    <row r="745" spans="1:4" s="1" customFormat="1" ht="19.75" customHeight="1" x14ac:dyDescent="0.25">
      <c r="A745" s="9">
        <v>2018</v>
      </c>
      <c r="B745" s="4" t="s">
        <v>117</v>
      </c>
      <c r="C745" s="2">
        <v>123.1546</v>
      </c>
      <c r="D745" s="14">
        <v>131.37639999999999</v>
      </c>
    </row>
    <row r="746" spans="1:4" s="1" customFormat="1" ht="19.75" customHeight="1" x14ac:dyDescent="0.25">
      <c r="A746" s="9">
        <v>2018</v>
      </c>
      <c r="B746" s="4" t="s">
        <v>116</v>
      </c>
      <c r="C746" s="5">
        <v>606.86440000000005</v>
      </c>
      <c r="D746" s="13">
        <v>652.86980000000005</v>
      </c>
    </row>
    <row r="747" spans="1:4" s="1" customFormat="1" ht="19.75" customHeight="1" x14ac:dyDescent="0.25">
      <c r="A747" s="9">
        <v>2018</v>
      </c>
      <c r="B747" s="4" t="s">
        <v>115</v>
      </c>
      <c r="C747" s="2">
        <v>250.73050000000001</v>
      </c>
      <c r="D747" s="14">
        <v>235.5532</v>
      </c>
    </row>
    <row r="748" spans="1:4" s="1" customFormat="1" ht="19.75" customHeight="1" x14ac:dyDescent="0.25">
      <c r="A748" s="9">
        <f>2017</f>
        <v>2017</v>
      </c>
      <c r="B748" s="4" t="s">
        <v>87</v>
      </c>
      <c r="C748" s="5">
        <v>6274.8985000000002</v>
      </c>
      <c r="D748" s="13">
        <v>2352.0992999999999</v>
      </c>
    </row>
    <row r="749" spans="1:4" s="1" customFormat="1" ht="19.75" customHeight="1" x14ac:dyDescent="0.25">
      <c r="A749" s="9">
        <f>2017</f>
        <v>2017</v>
      </c>
      <c r="B749" s="4" t="s">
        <v>86</v>
      </c>
      <c r="C749" s="2">
        <v>9378.4040000000005</v>
      </c>
      <c r="D749" s="14">
        <v>2799.7964999999999</v>
      </c>
    </row>
    <row r="750" spans="1:4" s="1" customFormat="1" ht="19.75" customHeight="1" x14ac:dyDescent="0.25">
      <c r="A750" s="9">
        <f>2017</f>
        <v>2017</v>
      </c>
      <c r="B750" s="4" t="s">
        <v>85</v>
      </c>
      <c r="C750" s="5">
        <v>113658.5034</v>
      </c>
      <c r="D750" s="13">
        <v>46472.769399999997</v>
      </c>
    </row>
    <row r="751" spans="1:4" s="1" customFormat="1" ht="19.75" customHeight="1" x14ac:dyDescent="0.25">
      <c r="A751" s="9">
        <f>2017</f>
        <v>2017</v>
      </c>
      <c r="B751" s="4" t="s">
        <v>83</v>
      </c>
      <c r="C751" s="2">
        <v>4956.9018999999998</v>
      </c>
      <c r="D751" s="14">
        <v>1956.9186999999999</v>
      </c>
    </row>
    <row r="752" spans="1:4" s="1" customFormat="1" ht="19.75" customHeight="1" x14ac:dyDescent="0.25">
      <c r="A752" s="9">
        <f>2017</f>
        <v>2017</v>
      </c>
      <c r="B752" s="4" t="s">
        <v>82</v>
      </c>
      <c r="C752" s="5">
        <v>7481.2236000000003</v>
      </c>
      <c r="D752" s="13">
        <v>2287.8944000000001</v>
      </c>
    </row>
    <row r="753" spans="1:4" s="1" customFormat="1" ht="19.75" customHeight="1" x14ac:dyDescent="0.25">
      <c r="A753" s="9">
        <f>2017</f>
        <v>2017</v>
      </c>
      <c r="B753" s="4" t="s">
        <v>80</v>
      </c>
      <c r="C753" s="2">
        <v>7100.0020999999997</v>
      </c>
      <c r="D753" s="14">
        <v>2415.7631000000001</v>
      </c>
    </row>
    <row r="754" spans="1:4" s="1" customFormat="1" ht="19.75" customHeight="1" x14ac:dyDescent="0.25">
      <c r="A754" s="9">
        <f>2017</f>
        <v>2017</v>
      </c>
      <c r="B754" s="4" t="s">
        <v>79</v>
      </c>
      <c r="C754" s="5">
        <v>12373.363600000001</v>
      </c>
      <c r="D754" s="13">
        <v>4064.5920000000001</v>
      </c>
    </row>
    <row r="755" spans="1:4" s="1" customFormat="1" ht="19.75" customHeight="1" x14ac:dyDescent="0.25">
      <c r="A755" s="9">
        <f>2017</f>
        <v>2017</v>
      </c>
      <c r="B755" s="4" t="s">
        <v>78</v>
      </c>
      <c r="C755" s="2">
        <v>12495.7744</v>
      </c>
      <c r="D755" s="14">
        <v>3451.9935</v>
      </c>
    </row>
    <row r="756" spans="1:4" s="1" customFormat="1" ht="19.75" customHeight="1" x14ac:dyDescent="0.25">
      <c r="A756" s="9">
        <f>2017</f>
        <v>2017</v>
      </c>
      <c r="B756" s="4" t="s">
        <v>77</v>
      </c>
      <c r="C756" s="5">
        <v>28686.519100000001</v>
      </c>
      <c r="D756" s="13">
        <v>9296.4022999999997</v>
      </c>
    </row>
    <row r="757" spans="1:4" s="1" customFormat="1" ht="19.75" customHeight="1" x14ac:dyDescent="0.25">
      <c r="A757" s="9">
        <f>2017</f>
        <v>2017</v>
      </c>
      <c r="B757" s="4" t="s">
        <v>76</v>
      </c>
      <c r="C757" s="2">
        <v>27464.7356</v>
      </c>
      <c r="D757" s="14">
        <v>8865.7965999999997</v>
      </c>
    </row>
    <row r="758" spans="1:4" s="1" customFormat="1" ht="19.75" customHeight="1" x14ac:dyDescent="0.25">
      <c r="A758" s="9">
        <f>2017</f>
        <v>2017</v>
      </c>
      <c r="B758" s="4" t="s">
        <v>75</v>
      </c>
      <c r="C758" s="5">
        <v>8887.2711999999992</v>
      </c>
      <c r="D758" s="13">
        <v>2855.6950999999999</v>
      </c>
    </row>
    <row r="759" spans="1:4" s="1" customFormat="1" ht="19.75" customHeight="1" x14ac:dyDescent="0.25">
      <c r="A759" s="9">
        <f>2017</f>
        <v>2017</v>
      </c>
      <c r="B759" s="4" t="s">
        <v>106</v>
      </c>
      <c r="C759" s="2">
        <v>65.1738</v>
      </c>
      <c r="D759" s="14">
        <v>90.713899999999995</v>
      </c>
    </row>
    <row r="760" spans="1:4" s="1" customFormat="1" ht="19.75" customHeight="1" x14ac:dyDescent="0.25">
      <c r="A760" s="9">
        <f>2017</f>
        <v>2017</v>
      </c>
      <c r="B760" s="4" t="s">
        <v>74</v>
      </c>
      <c r="C760" s="5">
        <v>31515.8681</v>
      </c>
      <c r="D760" s="13">
        <v>8512.2811999999994</v>
      </c>
    </row>
    <row r="761" spans="1:4" s="1" customFormat="1" ht="19.75" customHeight="1" x14ac:dyDescent="0.25">
      <c r="A761" s="9">
        <f>2017</f>
        <v>2017</v>
      </c>
      <c r="B761" s="4" t="s">
        <v>73</v>
      </c>
      <c r="C761" s="2">
        <v>18087.3959</v>
      </c>
      <c r="D761" s="14">
        <v>6361.0277999999998</v>
      </c>
    </row>
    <row r="762" spans="1:4" s="1" customFormat="1" ht="19.75" customHeight="1" x14ac:dyDescent="0.25">
      <c r="A762" s="9">
        <f>2017</f>
        <v>2017</v>
      </c>
      <c r="B762" s="4" t="s">
        <v>72</v>
      </c>
      <c r="C762" s="5">
        <v>15020.461799999999</v>
      </c>
      <c r="D762" s="13">
        <v>3101.7898</v>
      </c>
    </row>
    <row r="763" spans="1:4" s="1" customFormat="1" ht="19.75" customHeight="1" x14ac:dyDescent="0.25">
      <c r="A763" s="9">
        <f>2017</f>
        <v>2017</v>
      </c>
      <c r="B763" s="4" t="s">
        <v>71</v>
      </c>
      <c r="C763" s="2">
        <v>7773.3128999999999</v>
      </c>
      <c r="D763" s="14">
        <v>2269.5453000000002</v>
      </c>
    </row>
    <row r="764" spans="1:4" s="1" customFormat="1" ht="19.75" customHeight="1" x14ac:dyDescent="0.25">
      <c r="A764" s="9">
        <f>2017</f>
        <v>2017</v>
      </c>
      <c r="B764" s="4" t="s">
        <v>92</v>
      </c>
      <c r="C764" s="5">
        <v>22039.705600000001</v>
      </c>
      <c r="D764" s="13">
        <v>5140.8095000000003</v>
      </c>
    </row>
    <row r="765" spans="1:4" s="1" customFormat="1" ht="19.75" customHeight="1" x14ac:dyDescent="0.25">
      <c r="A765" s="9">
        <f>2017</f>
        <v>2017</v>
      </c>
      <c r="B765" s="4" t="s">
        <v>69</v>
      </c>
      <c r="C765" s="2">
        <v>10893.6906</v>
      </c>
      <c r="D765" s="14">
        <v>3356.7195000000002</v>
      </c>
    </row>
    <row r="766" spans="1:4" s="1" customFormat="1" ht="19.75" customHeight="1" x14ac:dyDescent="0.25">
      <c r="A766" s="9">
        <f>2017</f>
        <v>2017</v>
      </c>
      <c r="B766" s="4" t="s">
        <v>68</v>
      </c>
      <c r="C766" s="5">
        <v>14529.0188</v>
      </c>
      <c r="D766" s="13">
        <v>4912.0123000000003</v>
      </c>
    </row>
    <row r="767" spans="1:4" s="1" customFormat="1" ht="19.75" customHeight="1" x14ac:dyDescent="0.25">
      <c r="A767" s="9">
        <f>2017</f>
        <v>2017</v>
      </c>
      <c r="B767" s="4" t="s">
        <v>67</v>
      </c>
      <c r="C767" s="2">
        <v>13512.832399999999</v>
      </c>
      <c r="D767" s="14">
        <v>3504.8820999999998</v>
      </c>
    </row>
    <row r="768" spans="1:4" s="1" customFormat="1" ht="19.75" customHeight="1" x14ac:dyDescent="0.25">
      <c r="A768" s="9">
        <f>2017</f>
        <v>2017</v>
      </c>
      <c r="B768" s="4" t="s">
        <v>66</v>
      </c>
      <c r="C768" s="5">
        <v>6013.5375999999997</v>
      </c>
      <c r="D768" s="13">
        <v>1495.5546999999999</v>
      </c>
    </row>
    <row r="769" spans="1:4" s="1" customFormat="1" ht="19.75" customHeight="1" x14ac:dyDescent="0.25">
      <c r="A769" s="9">
        <f>2017</f>
        <v>2017</v>
      </c>
      <c r="B769" s="4" t="s">
        <v>65</v>
      </c>
      <c r="C769" s="2">
        <v>32282.820800000001</v>
      </c>
      <c r="D769" s="14">
        <v>9379.3837000000003</v>
      </c>
    </row>
    <row r="770" spans="1:4" s="1" customFormat="1" ht="19.75" customHeight="1" x14ac:dyDescent="0.25">
      <c r="A770" s="9">
        <f>2017</f>
        <v>2017</v>
      </c>
      <c r="B770" s="4" t="s">
        <v>64</v>
      </c>
      <c r="C770" s="5">
        <v>16727.817200000001</v>
      </c>
      <c r="D770" s="13">
        <v>5500.1331</v>
      </c>
    </row>
    <row r="771" spans="1:4" s="1" customFormat="1" ht="19.75" customHeight="1" x14ac:dyDescent="0.25">
      <c r="A771" s="9">
        <f>2017</f>
        <v>2017</v>
      </c>
      <c r="B771" s="4" t="s">
        <v>63</v>
      </c>
      <c r="C771" s="2">
        <v>12509.018</v>
      </c>
      <c r="D771" s="14">
        <v>3005.1914000000002</v>
      </c>
    </row>
    <row r="772" spans="1:4" s="1" customFormat="1" ht="19.75" customHeight="1" x14ac:dyDescent="0.25">
      <c r="A772" s="9">
        <f>2017</f>
        <v>2017</v>
      </c>
      <c r="B772" s="4" t="s">
        <v>62</v>
      </c>
      <c r="C772" s="5">
        <v>23756.644799999998</v>
      </c>
      <c r="D772" s="13">
        <v>6437.8447999999999</v>
      </c>
    </row>
    <row r="773" spans="1:4" s="1" customFormat="1" ht="19.75" customHeight="1" x14ac:dyDescent="0.25">
      <c r="A773" s="9">
        <f>2017</f>
        <v>2017</v>
      </c>
      <c r="B773" s="4" t="s">
        <v>61</v>
      </c>
      <c r="C773" s="2">
        <v>7500.1832000000004</v>
      </c>
      <c r="D773" s="14">
        <v>2561.4612999999999</v>
      </c>
    </row>
    <row r="774" spans="1:4" s="1" customFormat="1" ht="19.75" customHeight="1" x14ac:dyDescent="0.25">
      <c r="A774" s="9">
        <f>2017</f>
        <v>2017</v>
      </c>
      <c r="B774" s="4" t="s">
        <v>60</v>
      </c>
      <c r="C774" s="5">
        <v>8873.0179000000007</v>
      </c>
      <c r="D774" s="13">
        <v>2736.5495000000001</v>
      </c>
    </row>
    <row r="775" spans="1:4" s="1" customFormat="1" ht="19.75" customHeight="1" x14ac:dyDescent="0.25">
      <c r="A775" s="9">
        <f>2017</f>
        <v>2017</v>
      </c>
      <c r="B775" s="4" t="s">
        <v>59</v>
      </c>
      <c r="C775" s="2">
        <v>26449.042000000001</v>
      </c>
      <c r="D775" s="14">
        <v>12199.9053</v>
      </c>
    </row>
    <row r="776" spans="1:4" s="1" customFormat="1" ht="19.75" customHeight="1" x14ac:dyDescent="0.25">
      <c r="A776" s="9">
        <f>2017</f>
        <v>2017</v>
      </c>
      <c r="B776" s="4" t="s">
        <v>112</v>
      </c>
      <c r="C776" s="5">
        <v>1505.2106000000001</v>
      </c>
      <c r="D776" s="13">
        <v>1022.005</v>
      </c>
    </row>
    <row r="777" spans="1:4" s="1" customFormat="1" ht="19.75" customHeight="1" x14ac:dyDescent="0.25">
      <c r="A777" s="9">
        <f>2017</f>
        <v>2017</v>
      </c>
      <c r="B777" s="4" t="s">
        <v>54</v>
      </c>
      <c r="C777" s="2">
        <v>1975.0206000000001</v>
      </c>
      <c r="D777" s="14">
        <v>688.97490000000005</v>
      </c>
    </row>
    <row r="778" spans="1:4" s="1" customFormat="1" ht="19.75" customHeight="1" x14ac:dyDescent="0.25">
      <c r="A778" s="9">
        <f>2017</f>
        <v>2017</v>
      </c>
      <c r="B778" s="4" t="s">
        <v>53</v>
      </c>
      <c r="C778" s="5">
        <v>1022.6935</v>
      </c>
      <c r="D778" s="13">
        <v>443.08909999999997</v>
      </c>
    </row>
    <row r="779" spans="1:4" s="1" customFormat="1" ht="19.75" customHeight="1" x14ac:dyDescent="0.25">
      <c r="A779" s="9">
        <f>2017</f>
        <v>2017</v>
      </c>
      <c r="B779" s="4" t="s">
        <v>52</v>
      </c>
      <c r="C779" s="2">
        <v>1279.0591999999999</v>
      </c>
      <c r="D779" s="14">
        <v>627.72860000000003</v>
      </c>
    </row>
    <row r="780" spans="1:4" s="1" customFormat="1" ht="19.75" customHeight="1" x14ac:dyDescent="0.25">
      <c r="A780" s="9">
        <f>2017</f>
        <v>2017</v>
      </c>
      <c r="B780" s="4" t="s">
        <v>51</v>
      </c>
      <c r="C780" s="5">
        <v>757.45630000000006</v>
      </c>
      <c r="D780" s="13">
        <v>348.5462</v>
      </c>
    </row>
    <row r="781" spans="1:4" s="1" customFormat="1" ht="19.75" customHeight="1" x14ac:dyDescent="0.25">
      <c r="A781" s="9">
        <f>2017</f>
        <v>2017</v>
      </c>
      <c r="B781" s="4" t="s">
        <v>50</v>
      </c>
      <c r="C781" s="2">
        <v>5624.7435999999998</v>
      </c>
      <c r="D781" s="14">
        <v>2209.5336000000002</v>
      </c>
    </row>
    <row r="782" spans="1:4" s="1" customFormat="1" ht="19.75" customHeight="1" x14ac:dyDescent="0.25">
      <c r="A782" s="9">
        <f>2017</f>
        <v>2017</v>
      </c>
      <c r="B782" s="4" t="s">
        <v>48</v>
      </c>
      <c r="C782" s="5">
        <v>36166.733399999997</v>
      </c>
      <c r="D782" s="13">
        <v>19703.3442</v>
      </c>
    </row>
    <row r="783" spans="1:4" s="1" customFormat="1" ht="19.75" customHeight="1" x14ac:dyDescent="0.25">
      <c r="A783" s="9">
        <f>2017</f>
        <v>2017</v>
      </c>
      <c r="B783" s="4" t="s">
        <v>47</v>
      </c>
      <c r="C783" s="2">
        <v>32418.958500000001</v>
      </c>
      <c r="D783" s="14">
        <v>14755.0576</v>
      </c>
    </row>
    <row r="784" spans="1:4" s="1" customFormat="1" ht="19.75" customHeight="1" x14ac:dyDescent="0.25">
      <c r="A784" s="9">
        <f>2017</f>
        <v>2017</v>
      </c>
      <c r="B784" s="4" t="s">
        <v>111</v>
      </c>
      <c r="C784" s="5">
        <v>6515.3942999999999</v>
      </c>
      <c r="D784" s="13">
        <v>1276.9764</v>
      </c>
    </row>
    <row r="785" spans="1:4" s="1" customFormat="1" ht="19.75" customHeight="1" x14ac:dyDescent="0.25">
      <c r="A785" s="9">
        <f>2017</f>
        <v>2017</v>
      </c>
      <c r="B785" s="4" t="s">
        <v>46</v>
      </c>
      <c r="C785" s="2">
        <v>8343.0661</v>
      </c>
      <c r="D785" s="14">
        <v>4783.0757999999996</v>
      </c>
    </row>
    <row r="786" spans="1:4" s="1" customFormat="1" ht="19.75" customHeight="1" x14ac:dyDescent="0.25">
      <c r="A786" s="9">
        <f>2017</f>
        <v>2017</v>
      </c>
      <c r="B786" s="4" t="s">
        <v>44</v>
      </c>
      <c r="C786" s="5">
        <v>4173.8621999999996</v>
      </c>
      <c r="D786" s="13">
        <v>1710.4628</v>
      </c>
    </row>
    <row r="787" spans="1:4" s="1" customFormat="1" ht="19.75" customHeight="1" x14ac:dyDescent="0.25">
      <c r="A787" s="9">
        <f>2017</f>
        <v>2017</v>
      </c>
      <c r="B787" s="4" t="s">
        <v>43</v>
      </c>
      <c r="C787" s="2">
        <v>3694.7773000000002</v>
      </c>
      <c r="D787" s="14">
        <v>1304.1613</v>
      </c>
    </row>
    <row r="788" spans="1:4" s="1" customFormat="1" ht="19.75" customHeight="1" x14ac:dyDescent="0.25">
      <c r="A788" s="9">
        <f>2017</f>
        <v>2017</v>
      </c>
      <c r="B788" s="4" t="s">
        <v>42</v>
      </c>
      <c r="C788" s="5">
        <v>3548.6487000000002</v>
      </c>
      <c r="D788" s="13">
        <v>1284.9508000000001</v>
      </c>
    </row>
    <row r="789" spans="1:4" s="1" customFormat="1" ht="19.75" customHeight="1" x14ac:dyDescent="0.25">
      <c r="A789" s="9">
        <f>2017</f>
        <v>2017</v>
      </c>
      <c r="B789" s="4" t="s">
        <v>41</v>
      </c>
      <c r="C789" s="2">
        <v>9572.7841000000008</v>
      </c>
      <c r="D789" s="14">
        <v>5618.4952999999996</v>
      </c>
    </row>
    <row r="790" spans="1:4" s="1" customFormat="1" ht="19.75" customHeight="1" x14ac:dyDescent="0.25">
      <c r="A790" s="9">
        <f>2017</f>
        <v>2017</v>
      </c>
      <c r="B790" s="4" t="s">
        <v>40</v>
      </c>
      <c r="C790" s="5">
        <v>2064.0036</v>
      </c>
      <c r="D790" s="13">
        <v>651.36590000000001</v>
      </c>
    </row>
    <row r="791" spans="1:4" s="1" customFormat="1" ht="19.75" customHeight="1" x14ac:dyDescent="0.25">
      <c r="A791" s="9">
        <f>2017</f>
        <v>2017</v>
      </c>
      <c r="B791" s="4" t="s">
        <v>38</v>
      </c>
      <c r="C791" s="2">
        <v>374.48649999999998</v>
      </c>
      <c r="D791" s="14">
        <v>127.82769999999999</v>
      </c>
    </row>
    <row r="792" spans="1:4" s="1" customFormat="1" ht="19.75" customHeight="1" x14ac:dyDescent="0.25">
      <c r="A792" s="9">
        <f>2017</f>
        <v>2017</v>
      </c>
      <c r="B792" s="4" t="s">
        <v>37</v>
      </c>
      <c r="C792" s="5">
        <v>2491.8240999999998</v>
      </c>
      <c r="D792" s="13">
        <v>1056.3871999999999</v>
      </c>
    </row>
    <row r="793" spans="1:4" s="1" customFormat="1" ht="19.75" customHeight="1" x14ac:dyDescent="0.25">
      <c r="A793" s="9">
        <f>2017</f>
        <v>2017</v>
      </c>
      <c r="B793" s="4" t="s">
        <v>34</v>
      </c>
      <c r="C793" s="2">
        <v>4171.6459000000004</v>
      </c>
      <c r="D793" s="14">
        <v>1176.4041999999999</v>
      </c>
    </row>
    <row r="794" spans="1:4" s="1" customFormat="1" ht="19.75" customHeight="1" x14ac:dyDescent="0.25">
      <c r="A794" s="9">
        <f>2017</f>
        <v>2017</v>
      </c>
      <c r="B794" s="4" t="s">
        <v>33</v>
      </c>
      <c r="C794" s="5">
        <v>2230.1536000000001</v>
      </c>
      <c r="D794" s="13">
        <v>705.57</v>
      </c>
    </row>
    <row r="795" spans="1:4" s="1" customFormat="1" ht="19.75" customHeight="1" x14ac:dyDescent="0.25">
      <c r="A795" s="9">
        <f>2017</f>
        <v>2017</v>
      </c>
      <c r="B795" s="4" t="s">
        <v>31</v>
      </c>
      <c r="C795" s="2">
        <v>10627.3367</v>
      </c>
      <c r="D795" s="14">
        <v>4116.5410000000002</v>
      </c>
    </row>
    <row r="796" spans="1:4" s="1" customFormat="1" ht="19.75" customHeight="1" x14ac:dyDescent="0.25">
      <c r="A796" s="9">
        <f>2017</f>
        <v>2017</v>
      </c>
      <c r="B796" s="4" t="s">
        <v>30</v>
      </c>
      <c r="C796" s="5">
        <v>1.7996000000000001</v>
      </c>
      <c r="D796" s="13">
        <v>17.9848</v>
      </c>
    </row>
    <row r="797" spans="1:4" s="1" customFormat="1" ht="19.75" customHeight="1" x14ac:dyDescent="0.25">
      <c r="A797" s="9">
        <f>2017</f>
        <v>2017</v>
      </c>
      <c r="B797" s="4" t="s">
        <v>29</v>
      </c>
      <c r="C797" s="2">
        <v>153.37899999999999</v>
      </c>
      <c r="D797" s="14">
        <v>40.263599999999997</v>
      </c>
    </row>
    <row r="798" spans="1:4" s="1" customFormat="1" ht="19.75" customHeight="1" x14ac:dyDescent="0.25">
      <c r="A798" s="9">
        <f>2017</f>
        <v>2017</v>
      </c>
      <c r="B798" s="4" t="s">
        <v>91</v>
      </c>
      <c r="C798" s="5">
        <v>110.0428</v>
      </c>
      <c r="D798" s="13">
        <v>1058.4103</v>
      </c>
    </row>
    <row r="799" spans="1:4" s="1" customFormat="1" ht="19.75" customHeight="1" x14ac:dyDescent="0.25">
      <c r="A799" s="9">
        <f>2017</f>
        <v>2017</v>
      </c>
      <c r="B799" s="4" t="s">
        <v>103</v>
      </c>
      <c r="C799" s="2">
        <v>164.84379999999999</v>
      </c>
      <c r="D799" s="14">
        <v>148.93559999999999</v>
      </c>
    </row>
    <row r="800" spans="1:4" s="1" customFormat="1" ht="19.75" customHeight="1" x14ac:dyDescent="0.25">
      <c r="A800" s="9">
        <f>2017</f>
        <v>2017</v>
      </c>
      <c r="B800" s="4" t="s">
        <v>27</v>
      </c>
      <c r="C800" s="5">
        <v>711.1884</v>
      </c>
      <c r="D800" s="13">
        <v>637.13879999999995</v>
      </c>
    </row>
    <row r="801" spans="1:4" s="1" customFormat="1" ht="19.75" customHeight="1" x14ac:dyDescent="0.25">
      <c r="A801" s="9">
        <f>2017</f>
        <v>2017</v>
      </c>
      <c r="B801" s="4" t="s">
        <v>26</v>
      </c>
      <c r="C801" s="2">
        <v>72.751599999999996</v>
      </c>
      <c r="D801" s="14">
        <v>31.274899999999999</v>
      </c>
    </row>
    <row r="802" spans="1:4" s="1" customFormat="1" ht="19.75" customHeight="1" x14ac:dyDescent="0.25">
      <c r="A802" s="9">
        <f>2017</f>
        <v>2017</v>
      </c>
      <c r="B802" s="4" t="s">
        <v>25</v>
      </c>
      <c r="C802" s="5">
        <v>9.423</v>
      </c>
      <c r="D802" s="13">
        <v>6.5190000000000001</v>
      </c>
    </row>
    <row r="803" spans="1:4" s="1" customFormat="1" ht="19.75" customHeight="1" x14ac:dyDescent="0.25">
      <c r="A803" s="9">
        <f>2017</f>
        <v>2017</v>
      </c>
      <c r="B803" s="4" t="s">
        <v>24</v>
      </c>
      <c r="C803" s="2">
        <v>310.11009999999999</v>
      </c>
      <c r="D803" s="14">
        <v>98.938299999999998</v>
      </c>
    </row>
    <row r="804" spans="1:4" s="1" customFormat="1" ht="19.75" customHeight="1" x14ac:dyDescent="0.25">
      <c r="A804" s="9">
        <f>2017</f>
        <v>2017</v>
      </c>
      <c r="B804" s="4" t="s">
        <v>23</v>
      </c>
      <c r="C804" s="5">
        <v>765.80989999999997</v>
      </c>
      <c r="D804" s="13">
        <v>409.0881</v>
      </c>
    </row>
    <row r="805" spans="1:4" s="1" customFormat="1" ht="19.75" customHeight="1" x14ac:dyDescent="0.25">
      <c r="A805" s="9">
        <f>2017</f>
        <v>2017</v>
      </c>
      <c r="B805" s="4" t="s">
        <v>22</v>
      </c>
      <c r="C805" s="2">
        <v>1502.9471000000001</v>
      </c>
      <c r="D805" s="14">
        <v>460.685</v>
      </c>
    </row>
    <row r="806" spans="1:4" s="1" customFormat="1" ht="19.75" customHeight="1" x14ac:dyDescent="0.25">
      <c r="A806" s="9">
        <f>2017</f>
        <v>2017</v>
      </c>
      <c r="B806" s="4" t="s">
        <v>21</v>
      </c>
      <c r="C806" s="5">
        <v>3600.17</v>
      </c>
      <c r="D806" s="13">
        <v>3795.68</v>
      </c>
    </row>
    <row r="807" spans="1:4" s="1" customFormat="1" ht="19.75" customHeight="1" x14ac:dyDescent="0.25">
      <c r="A807" s="9">
        <f>2017</f>
        <v>2017</v>
      </c>
      <c r="B807" s="4" t="s">
        <v>96</v>
      </c>
      <c r="C807" s="2">
        <v>6.1421000000000001</v>
      </c>
      <c r="D807" s="14">
        <v>31.690799999999999</v>
      </c>
    </row>
    <row r="808" spans="1:4" s="1" customFormat="1" ht="19.75" customHeight="1" x14ac:dyDescent="0.25">
      <c r="A808" s="9">
        <f>2017</f>
        <v>2017</v>
      </c>
      <c r="B808" s="4" t="s">
        <v>102</v>
      </c>
      <c r="C808" s="5">
        <v>113.6019</v>
      </c>
      <c r="D808" s="13">
        <v>95.155799999999999</v>
      </c>
    </row>
    <row r="809" spans="1:4" s="1" customFormat="1" ht="19.75" customHeight="1" x14ac:dyDescent="0.25">
      <c r="A809" s="9">
        <f>2017</f>
        <v>2017</v>
      </c>
      <c r="B809" s="4" t="s">
        <v>20</v>
      </c>
      <c r="C809" s="2">
        <v>222.81290000000001</v>
      </c>
      <c r="D809" s="14">
        <v>128.72970000000001</v>
      </c>
    </row>
    <row r="810" spans="1:4" s="1" customFormat="1" ht="19.75" customHeight="1" x14ac:dyDescent="0.25">
      <c r="A810" s="9">
        <f>2017</f>
        <v>2017</v>
      </c>
      <c r="B810" s="4" t="s">
        <v>101</v>
      </c>
      <c r="C810" s="5">
        <v>332.464</v>
      </c>
      <c r="D810" s="13">
        <v>76.429699999999997</v>
      </c>
    </row>
    <row r="811" spans="1:4" s="1" customFormat="1" ht="19.75" customHeight="1" x14ac:dyDescent="0.25">
      <c r="A811" s="9">
        <f>2017</f>
        <v>2017</v>
      </c>
      <c r="B811" s="4" t="s">
        <v>19</v>
      </c>
      <c r="C811" s="2">
        <v>20.868500000000001</v>
      </c>
      <c r="D811" s="14">
        <v>34.4116</v>
      </c>
    </row>
    <row r="812" spans="1:4" s="1" customFormat="1" ht="19.75" customHeight="1" x14ac:dyDescent="0.25">
      <c r="A812" s="9">
        <f>2017</f>
        <v>2017</v>
      </c>
      <c r="B812" s="4" t="s">
        <v>18</v>
      </c>
      <c r="C812" s="5">
        <v>1853.3812</v>
      </c>
      <c r="D812" s="13">
        <v>825.00599999999997</v>
      </c>
    </row>
    <row r="813" spans="1:4" s="1" customFormat="1" ht="19.75" customHeight="1" x14ac:dyDescent="0.25">
      <c r="A813" s="9">
        <f>2017</f>
        <v>2017</v>
      </c>
      <c r="B813" s="4" t="s">
        <v>17</v>
      </c>
      <c r="C813" s="2">
        <v>2312.4819000000002</v>
      </c>
      <c r="D813" s="14">
        <v>1384.9374</v>
      </c>
    </row>
    <row r="814" spans="1:4" s="1" customFormat="1" ht="19.75" customHeight="1" x14ac:dyDescent="0.25">
      <c r="A814" s="9">
        <f>2017</f>
        <v>2017</v>
      </c>
      <c r="B814" s="4" t="s">
        <v>107</v>
      </c>
      <c r="C814" s="5">
        <v>56.444200000000002</v>
      </c>
      <c r="D814" s="13">
        <v>35.710500000000003</v>
      </c>
    </row>
    <row r="815" spans="1:4" s="1" customFormat="1" ht="19.75" customHeight="1" x14ac:dyDescent="0.25">
      <c r="A815" s="9">
        <f>2017</f>
        <v>2017</v>
      </c>
      <c r="B815" s="4" t="s">
        <v>110</v>
      </c>
      <c r="C815" s="2">
        <v>7.2400000000000006E-2</v>
      </c>
      <c r="D815" s="14">
        <v>39.214300000000001</v>
      </c>
    </row>
    <row r="816" spans="1:4" s="1" customFormat="1" ht="19.75" customHeight="1" x14ac:dyDescent="0.25">
      <c r="A816" s="9">
        <f>2017</f>
        <v>2017</v>
      </c>
      <c r="B816" s="4" t="s">
        <v>94</v>
      </c>
      <c r="C816" s="5">
        <v>82.179000000000002</v>
      </c>
      <c r="D816" s="13">
        <v>130.0762</v>
      </c>
    </row>
    <row r="817" spans="1:4" s="1" customFormat="1" ht="19.75" customHeight="1" x14ac:dyDescent="0.25">
      <c r="A817" s="9">
        <f>2017</f>
        <v>2017</v>
      </c>
      <c r="B817" s="4" t="s">
        <v>16</v>
      </c>
      <c r="C817" s="2">
        <v>3977.6082999999999</v>
      </c>
      <c r="D817" s="14">
        <v>2827.7343999999998</v>
      </c>
    </row>
    <row r="818" spans="1:4" s="1" customFormat="1" ht="19.75" customHeight="1" x14ac:dyDescent="0.25">
      <c r="A818" s="9">
        <f>2017</f>
        <v>2017</v>
      </c>
      <c r="B818" s="4" t="s">
        <v>100</v>
      </c>
      <c r="C818" s="5">
        <v>51.438699999999997</v>
      </c>
      <c r="D818" s="13">
        <v>47.791499999999999</v>
      </c>
    </row>
    <row r="819" spans="1:4" s="1" customFormat="1" ht="19.75" customHeight="1" x14ac:dyDescent="0.25">
      <c r="A819" s="9">
        <f>2017</f>
        <v>2017</v>
      </c>
      <c r="B819" s="4" t="s">
        <v>109</v>
      </c>
      <c r="C819" s="2">
        <v>1.3351</v>
      </c>
      <c r="D819" s="14">
        <v>12.1218</v>
      </c>
    </row>
    <row r="820" spans="1:4" s="1" customFormat="1" ht="19.75" customHeight="1" x14ac:dyDescent="0.25">
      <c r="A820" s="9">
        <f>2017</f>
        <v>2017</v>
      </c>
      <c r="B820" s="4" t="s">
        <v>13</v>
      </c>
      <c r="C820" s="5">
        <v>797.35270000000003</v>
      </c>
      <c r="D820" s="13">
        <v>283.02390000000003</v>
      </c>
    </row>
    <row r="821" spans="1:4" s="1" customFormat="1" ht="19.75" customHeight="1" x14ac:dyDescent="0.25">
      <c r="A821" s="9">
        <f>2017</f>
        <v>2017</v>
      </c>
      <c r="B821" s="4" t="s">
        <v>90</v>
      </c>
      <c r="C821" s="3"/>
      <c r="D821" s="14">
        <v>14.038600000000001</v>
      </c>
    </row>
    <row r="822" spans="1:4" s="1" customFormat="1" ht="19.75" customHeight="1" x14ac:dyDescent="0.25">
      <c r="A822" s="9">
        <f>2017</f>
        <v>2017</v>
      </c>
      <c r="B822" s="4" t="s">
        <v>108</v>
      </c>
      <c r="C822" s="5">
        <v>12.838800000000001</v>
      </c>
      <c r="D822" s="13">
        <v>16.847000000000001</v>
      </c>
    </row>
    <row r="823" spans="1:4" s="1" customFormat="1" ht="19.75" customHeight="1" x14ac:dyDescent="0.25">
      <c r="A823" s="9">
        <f>2017</f>
        <v>2017</v>
      </c>
      <c r="B823" s="4" t="s">
        <v>11</v>
      </c>
      <c r="C823" s="2">
        <v>13.185600000000001</v>
      </c>
      <c r="D823" s="14">
        <v>3.6732999999999998</v>
      </c>
    </row>
    <row r="824" spans="1:4" s="1" customFormat="1" ht="19.75" customHeight="1" x14ac:dyDescent="0.25">
      <c r="A824" s="9">
        <f>2017</f>
        <v>2017</v>
      </c>
      <c r="B824" s="4" t="s">
        <v>10</v>
      </c>
      <c r="C824" s="5">
        <v>1.0481</v>
      </c>
      <c r="D824" s="13">
        <v>19.512699999999999</v>
      </c>
    </row>
    <row r="825" spans="1:4" s="1" customFormat="1" ht="19.75" customHeight="1" x14ac:dyDescent="0.25">
      <c r="A825" s="9">
        <f>2017</f>
        <v>2017</v>
      </c>
      <c r="B825" s="4" t="s">
        <v>9</v>
      </c>
      <c r="C825" s="2">
        <v>369.26089999999999</v>
      </c>
      <c r="D825" s="14">
        <v>245.70679999999999</v>
      </c>
    </row>
    <row r="826" spans="1:4" s="1" customFormat="1" ht="19.75" customHeight="1" x14ac:dyDescent="0.25">
      <c r="A826" s="9">
        <f>2017</f>
        <v>2017</v>
      </c>
      <c r="B826" s="4" t="s">
        <v>8</v>
      </c>
      <c r="C826" s="5">
        <v>722.15940000000001</v>
      </c>
      <c r="D826" s="13">
        <v>251.04810000000001</v>
      </c>
    </row>
    <row r="827" spans="1:4" s="1" customFormat="1" ht="19.75" customHeight="1" x14ac:dyDescent="0.25">
      <c r="A827" s="9">
        <f>2017</f>
        <v>2017</v>
      </c>
      <c r="B827" s="4" t="s">
        <v>99</v>
      </c>
      <c r="C827" s="2">
        <v>0.71689999999999998</v>
      </c>
      <c r="D827" s="14">
        <v>34.717599999999997</v>
      </c>
    </row>
    <row r="828" spans="1:4" s="1" customFormat="1" ht="19.75" customHeight="1" x14ac:dyDescent="0.25">
      <c r="A828" s="9">
        <f>2017</f>
        <v>2017</v>
      </c>
      <c r="B828" s="4" t="s">
        <v>7</v>
      </c>
      <c r="C828" s="5">
        <v>4.8068</v>
      </c>
      <c r="D828" s="13">
        <v>18.041599999999999</v>
      </c>
    </row>
    <row r="829" spans="1:4" s="1" customFormat="1" ht="19.75" customHeight="1" x14ac:dyDescent="0.25">
      <c r="A829" s="9">
        <f>2017</f>
        <v>2017</v>
      </c>
      <c r="B829" s="4" t="s">
        <v>98</v>
      </c>
      <c r="C829" s="2">
        <v>7.8724999999999996</v>
      </c>
      <c r="D829" s="14">
        <v>17.8004</v>
      </c>
    </row>
    <row r="830" spans="1:4" s="1" customFormat="1" ht="19.75" customHeight="1" x14ac:dyDescent="0.25">
      <c r="A830" s="9">
        <f>2017</f>
        <v>2017</v>
      </c>
      <c r="B830" s="4" t="s">
        <v>6</v>
      </c>
      <c r="C830" s="5">
        <v>74.699600000000004</v>
      </c>
      <c r="D830" s="13">
        <v>24.519200000000001</v>
      </c>
    </row>
    <row r="831" spans="1:4" s="1" customFormat="1" ht="19.75" customHeight="1" x14ac:dyDescent="0.25">
      <c r="A831" s="9">
        <f>2017</f>
        <v>2017</v>
      </c>
      <c r="B831" s="4" t="s">
        <v>5</v>
      </c>
      <c r="C831" s="2">
        <v>281.92129999999997</v>
      </c>
      <c r="D831" s="14">
        <v>75.340500000000006</v>
      </c>
    </row>
    <row r="832" spans="1:4" s="1" customFormat="1" ht="19.75" customHeight="1" x14ac:dyDescent="0.25">
      <c r="A832" s="9">
        <f>2017</f>
        <v>2017</v>
      </c>
      <c r="B832" s="4" t="s">
        <v>4</v>
      </c>
      <c r="C832" s="5">
        <v>187.21850000000001</v>
      </c>
      <c r="D832" s="13">
        <v>122.9791</v>
      </c>
    </row>
    <row r="833" spans="1:4" s="1" customFormat="1" ht="19.75" customHeight="1" x14ac:dyDescent="0.25">
      <c r="A833" s="9">
        <f>2017</f>
        <v>2017</v>
      </c>
      <c r="B833" s="4" t="s">
        <v>3</v>
      </c>
      <c r="C833" s="2">
        <v>1.9616</v>
      </c>
      <c r="D833" s="14">
        <v>7.2944000000000004</v>
      </c>
    </row>
    <row r="834" spans="1:4" s="1" customFormat="1" ht="19.75" customHeight="1" x14ac:dyDescent="0.25">
      <c r="A834" s="9">
        <f>2017</f>
        <v>2017</v>
      </c>
      <c r="B834" s="4" t="s">
        <v>2</v>
      </c>
      <c r="C834" s="5">
        <v>4239.3513999999996</v>
      </c>
      <c r="D834" s="13">
        <v>3091.3128000000002</v>
      </c>
    </row>
    <row r="835" spans="1:4" s="1" customFormat="1" ht="19.75" customHeight="1" x14ac:dyDescent="0.25">
      <c r="A835" s="9">
        <f>2017</f>
        <v>2017</v>
      </c>
      <c r="B835" s="4" t="s">
        <v>105</v>
      </c>
      <c r="C835" s="2">
        <v>425.41210000000001</v>
      </c>
      <c r="D835" s="14">
        <v>118.76609999999999</v>
      </c>
    </row>
    <row r="836" spans="1:4" s="1" customFormat="1" ht="19.75" customHeight="1" x14ac:dyDescent="0.25">
      <c r="A836" s="9">
        <f>2017</f>
        <v>2017</v>
      </c>
      <c r="B836" s="4" t="s">
        <v>93</v>
      </c>
      <c r="C836" s="5">
        <v>4.9062999999999999</v>
      </c>
      <c r="D836" s="13">
        <v>38.552999999999997</v>
      </c>
    </row>
    <row r="837" spans="1:4" s="1" customFormat="1" ht="19.75" customHeight="1" x14ac:dyDescent="0.25">
      <c r="A837" s="9">
        <f>2017</f>
        <v>2017</v>
      </c>
      <c r="B837" s="4" t="s">
        <v>95</v>
      </c>
      <c r="C837" s="2">
        <v>29.8081</v>
      </c>
      <c r="D837" s="14">
        <v>23.556699999999999</v>
      </c>
    </row>
    <row r="838" spans="1:4" s="1" customFormat="1" ht="19.75" customHeight="1" x14ac:dyDescent="0.25">
      <c r="A838" s="9">
        <f>2017</f>
        <v>2017</v>
      </c>
      <c r="B838" s="4" t="s">
        <v>104</v>
      </c>
      <c r="C838" s="5">
        <v>85.228899999999996</v>
      </c>
      <c r="D838" s="13">
        <v>44.075400000000002</v>
      </c>
    </row>
    <row r="839" spans="1:4" s="1" customFormat="1" ht="19.75" customHeight="1" x14ac:dyDescent="0.25">
      <c r="A839" s="9">
        <f>2017</f>
        <v>2017</v>
      </c>
      <c r="B839" s="4" t="s">
        <v>97</v>
      </c>
      <c r="C839" s="2">
        <v>33.672800000000002</v>
      </c>
      <c r="D839" s="14">
        <v>22.385000000000002</v>
      </c>
    </row>
    <row r="840" spans="1:4" s="1" customFormat="1" ht="19.75" customHeight="1" x14ac:dyDescent="0.25">
      <c r="A840" s="9">
        <f>2017</f>
        <v>2017</v>
      </c>
      <c r="B840" s="4" t="s">
        <v>114</v>
      </c>
      <c r="C840" s="5">
        <v>149.66220000000001</v>
      </c>
      <c r="D840" s="13">
        <v>70.6922</v>
      </c>
    </row>
    <row r="841" spans="1:4" s="1" customFormat="1" ht="19.75" customHeight="1" x14ac:dyDescent="0.25">
      <c r="A841" s="9">
        <f>2017</f>
        <v>2017</v>
      </c>
      <c r="B841" s="4" t="s">
        <v>113</v>
      </c>
      <c r="C841" s="2">
        <v>447.15780000000001</v>
      </c>
      <c r="D841" s="14">
        <v>509.2439</v>
      </c>
    </row>
    <row r="842" spans="1:4" s="1" customFormat="1" ht="19.75" customHeight="1" x14ac:dyDescent="0.25">
      <c r="A842" s="9">
        <f>2016</f>
        <v>2016</v>
      </c>
      <c r="B842" s="4" t="s">
        <v>87</v>
      </c>
      <c r="C842" s="5">
        <v>6288.1328999999996</v>
      </c>
      <c r="D842" s="13">
        <v>2056.355</v>
      </c>
    </row>
    <row r="843" spans="1:4" s="1" customFormat="1" ht="19.75" customHeight="1" x14ac:dyDescent="0.25">
      <c r="A843" s="9">
        <f>2016</f>
        <v>2016</v>
      </c>
      <c r="B843" s="4" t="s">
        <v>86</v>
      </c>
      <c r="C843" s="2">
        <v>9593.5941999999995</v>
      </c>
      <c r="D843" s="14">
        <v>2746.5268999999998</v>
      </c>
    </row>
    <row r="844" spans="1:4" s="1" customFormat="1" ht="19.75" customHeight="1" x14ac:dyDescent="0.25">
      <c r="A844" s="9">
        <f>2016</f>
        <v>2016</v>
      </c>
      <c r="B844" s="4" t="s">
        <v>85</v>
      </c>
      <c r="C844" s="5">
        <v>106803.4921</v>
      </c>
      <c r="D844" s="13">
        <v>41782.366499999996</v>
      </c>
    </row>
    <row r="845" spans="1:4" s="1" customFormat="1" ht="19.75" customHeight="1" x14ac:dyDescent="0.25">
      <c r="A845" s="9">
        <f>2016</f>
        <v>2016</v>
      </c>
      <c r="B845" s="4" t="s">
        <v>83</v>
      </c>
      <c r="C845" s="2">
        <v>5012.4238999999998</v>
      </c>
      <c r="D845" s="14">
        <v>1675.8312000000001</v>
      </c>
    </row>
    <row r="846" spans="1:4" s="1" customFormat="1" ht="19.75" customHeight="1" x14ac:dyDescent="0.25">
      <c r="A846" s="9">
        <f>2016</f>
        <v>2016</v>
      </c>
      <c r="B846" s="4" t="s">
        <v>82</v>
      </c>
      <c r="C846" s="5">
        <v>7831.5619999999999</v>
      </c>
      <c r="D846" s="13">
        <v>1919.2638999999999</v>
      </c>
    </row>
    <row r="847" spans="1:4" s="1" customFormat="1" ht="19.75" customHeight="1" x14ac:dyDescent="0.25">
      <c r="A847" s="9">
        <f>2016</f>
        <v>2016</v>
      </c>
      <c r="B847" s="4" t="s">
        <v>80</v>
      </c>
      <c r="C847" s="2">
        <v>7054.9575999999997</v>
      </c>
      <c r="D847" s="14">
        <v>1903.7760000000001</v>
      </c>
    </row>
    <row r="848" spans="1:4" s="1" customFormat="1" ht="19.75" customHeight="1" x14ac:dyDescent="0.25">
      <c r="A848" s="9">
        <f>2016</f>
        <v>2016</v>
      </c>
      <c r="B848" s="4" t="s">
        <v>79</v>
      </c>
      <c r="C848" s="5">
        <v>12986.4529</v>
      </c>
      <c r="D848" s="13">
        <v>3674.7163</v>
      </c>
    </row>
    <row r="849" spans="1:4" s="1" customFormat="1" ht="19.75" customHeight="1" x14ac:dyDescent="0.25">
      <c r="A849" s="9">
        <f>2016</f>
        <v>2016</v>
      </c>
      <c r="B849" s="4" t="s">
        <v>78</v>
      </c>
      <c r="C849" s="2">
        <v>12313.7109</v>
      </c>
      <c r="D849" s="14">
        <v>2925.4358000000002</v>
      </c>
    </row>
    <row r="850" spans="1:4" s="1" customFormat="1" ht="19.75" customHeight="1" x14ac:dyDescent="0.25">
      <c r="A850" s="9">
        <f>2016</f>
        <v>2016</v>
      </c>
      <c r="B850" s="4" t="s">
        <v>77</v>
      </c>
      <c r="C850" s="5">
        <v>31321.4257</v>
      </c>
      <c r="D850" s="13">
        <v>8923.1370999999999</v>
      </c>
    </row>
    <row r="851" spans="1:4" s="1" customFormat="1" ht="19.75" customHeight="1" x14ac:dyDescent="0.25">
      <c r="A851" s="9">
        <f>2016</f>
        <v>2016</v>
      </c>
      <c r="B851" s="4" t="s">
        <v>76</v>
      </c>
      <c r="C851" s="2">
        <v>30071.847099999999</v>
      </c>
      <c r="D851" s="14">
        <v>9341.5418000000009</v>
      </c>
    </row>
    <row r="852" spans="1:4" s="1" customFormat="1" ht="19.75" customHeight="1" x14ac:dyDescent="0.25">
      <c r="A852" s="9">
        <f>2016</f>
        <v>2016</v>
      </c>
      <c r="B852" s="4" t="s">
        <v>75</v>
      </c>
      <c r="C852" s="5">
        <v>9174.2893000000004</v>
      </c>
      <c r="D852" s="13">
        <v>2552.8092999999999</v>
      </c>
    </row>
    <row r="853" spans="1:4" s="1" customFormat="1" ht="19.75" customHeight="1" x14ac:dyDescent="0.25">
      <c r="A853" s="9">
        <f>2016</f>
        <v>2016</v>
      </c>
      <c r="B853" s="4" t="s">
        <v>106</v>
      </c>
      <c r="C853" s="2">
        <v>67.256299999999996</v>
      </c>
      <c r="D853" s="14">
        <v>100.2145</v>
      </c>
    </row>
    <row r="854" spans="1:4" s="1" customFormat="1" ht="19.75" customHeight="1" x14ac:dyDescent="0.25">
      <c r="A854" s="9">
        <f>2016</f>
        <v>2016</v>
      </c>
      <c r="B854" s="4" t="s">
        <v>74</v>
      </c>
      <c r="C854" s="5">
        <v>34258.774599999997</v>
      </c>
      <c r="D854" s="13">
        <v>7491.9345999999996</v>
      </c>
    </row>
    <row r="855" spans="1:4" s="1" customFormat="1" ht="19.75" customHeight="1" x14ac:dyDescent="0.25">
      <c r="A855" s="9">
        <f>2016</f>
        <v>2016</v>
      </c>
      <c r="B855" s="4" t="s">
        <v>73</v>
      </c>
      <c r="C855" s="2">
        <v>18822.268899999999</v>
      </c>
      <c r="D855" s="14">
        <v>6661.9889999999996</v>
      </c>
    </row>
    <row r="856" spans="1:4" s="1" customFormat="1" ht="19.75" customHeight="1" x14ac:dyDescent="0.25">
      <c r="A856" s="9">
        <f>2016</f>
        <v>2016</v>
      </c>
      <c r="B856" s="4" t="s">
        <v>72</v>
      </c>
      <c r="C856" s="5">
        <v>15171.778</v>
      </c>
      <c r="D856" s="13">
        <v>2879.6014</v>
      </c>
    </row>
    <row r="857" spans="1:4" s="1" customFormat="1" ht="19.75" customHeight="1" x14ac:dyDescent="0.25">
      <c r="A857" s="9">
        <f>2016</f>
        <v>2016</v>
      </c>
      <c r="B857" s="4" t="s">
        <v>71</v>
      </c>
      <c r="C857" s="2">
        <v>8168.9885000000004</v>
      </c>
      <c r="D857" s="14">
        <v>2268.2458999999999</v>
      </c>
    </row>
    <row r="858" spans="1:4" s="1" customFormat="1" ht="19.75" customHeight="1" x14ac:dyDescent="0.25">
      <c r="A858" s="9">
        <f>2016</f>
        <v>2016</v>
      </c>
      <c r="B858" s="4" t="s">
        <v>92</v>
      </c>
      <c r="C858" s="5">
        <v>21953.807700000001</v>
      </c>
      <c r="D858" s="13">
        <v>4129.5842000000002</v>
      </c>
    </row>
    <row r="859" spans="1:4" s="1" customFormat="1" ht="19.75" customHeight="1" x14ac:dyDescent="0.25">
      <c r="A859" s="9">
        <f>2016</f>
        <v>2016</v>
      </c>
      <c r="B859" s="4" t="s">
        <v>69</v>
      </c>
      <c r="C859" s="2">
        <v>11797.6039</v>
      </c>
      <c r="D859" s="14">
        <v>3195.5034999999998</v>
      </c>
    </row>
    <row r="860" spans="1:4" s="1" customFormat="1" ht="19.75" customHeight="1" x14ac:dyDescent="0.25">
      <c r="A860" s="9">
        <f>2016</f>
        <v>2016</v>
      </c>
      <c r="B860" s="4" t="s">
        <v>68</v>
      </c>
      <c r="C860" s="5">
        <v>18134.6005</v>
      </c>
      <c r="D860" s="13">
        <v>5025.4957000000004</v>
      </c>
    </row>
    <row r="861" spans="1:4" s="1" customFormat="1" ht="19.75" customHeight="1" x14ac:dyDescent="0.25">
      <c r="A861" s="9">
        <f>2016</f>
        <v>2016</v>
      </c>
      <c r="B861" s="4" t="s">
        <v>67</v>
      </c>
      <c r="C861" s="2">
        <v>14793.933300000001</v>
      </c>
      <c r="D861" s="14">
        <v>3458.779</v>
      </c>
    </row>
    <row r="862" spans="1:4" s="1" customFormat="1" ht="19.75" customHeight="1" x14ac:dyDescent="0.25">
      <c r="A862" s="9">
        <f>2016</f>
        <v>2016</v>
      </c>
      <c r="B862" s="4" t="s">
        <v>66</v>
      </c>
      <c r="C862" s="5">
        <v>6568.5540000000001</v>
      </c>
      <c r="D862" s="13">
        <v>1384.3774000000001</v>
      </c>
    </row>
    <row r="863" spans="1:4" s="1" customFormat="1" ht="19.75" customHeight="1" x14ac:dyDescent="0.25">
      <c r="A863" s="9">
        <f>2016</f>
        <v>2016</v>
      </c>
      <c r="B863" s="4" t="s">
        <v>65</v>
      </c>
      <c r="C863" s="2">
        <v>32112.572</v>
      </c>
      <c r="D863" s="14">
        <v>9972.4542999999994</v>
      </c>
    </row>
    <row r="864" spans="1:4" s="1" customFormat="1" ht="19.75" customHeight="1" x14ac:dyDescent="0.25">
      <c r="A864" s="9">
        <f>2016</f>
        <v>2016</v>
      </c>
      <c r="B864" s="4" t="s">
        <v>64</v>
      </c>
      <c r="C864" s="5">
        <v>17213.078000000001</v>
      </c>
      <c r="D864" s="13">
        <v>5242.1220000000003</v>
      </c>
    </row>
    <row r="865" spans="1:4" s="1" customFormat="1" ht="19.75" customHeight="1" x14ac:dyDescent="0.25">
      <c r="A865" s="9">
        <f>2016</f>
        <v>2016</v>
      </c>
      <c r="B865" s="4" t="s">
        <v>63</v>
      </c>
      <c r="C865" s="2">
        <v>13712.950800000001</v>
      </c>
      <c r="D865" s="14">
        <v>2840.9430000000002</v>
      </c>
    </row>
    <row r="866" spans="1:4" s="1" customFormat="1" ht="19.75" customHeight="1" x14ac:dyDescent="0.25">
      <c r="A866" s="9">
        <f>2016</f>
        <v>2016</v>
      </c>
      <c r="B866" s="4" t="s">
        <v>62</v>
      </c>
      <c r="C866" s="5">
        <v>23885.702099999999</v>
      </c>
      <c r="D866" s="13">
        <v>6302.2156999999997</v>
      </c>
    </row>
    <row r="867" spans="1:4" s="1" customFormat="1" ht="19.75" customHeight="1" x14ac:dyDescent="0.25">
      <c r="A867" s="9">
        <f>2016</f>
        <v>2016</v>
      </c>
      <c r="B867" s="4" t="s">
        <v>61</v>
      </c>
      <c r="C867" s="2">
        <v>7656.1135999999997</v>
      </c>
      <c r="D867" s="14">
        <v>2972.7844</v>
      </c>
    </row>
    <row r="868" spans="1:4" s="1" customFormat="1" ht="19.75" customHeight="1" x14ac:dyDescent="0.25">
      <c r="A868" s="9">
        <f>2016</f>
        <v>2016</v>
      </c>
      <c r="B868" s="4" t="s">
        <v>60</v>
      </c>
      <c r="C868" s="5">
        <v>9322.7446999999993</v>
      </c>
      <c r="D868" s="13">
        <v>2085.8240999999998</v>
      </c>
    </row>
    <row r="869" spans="1:4" s="1" customFormat="1" ht="19.75" customHeight="1" x14ac:dyDescent="0.25">
      <c r="A869" s="9">
        <f>2016</f>
        <v>2016</v>
      </c>
      <c r="B869" s="4" t="s">
        <v>59</v>
      </c>
      <c r="C869" s="2">
        <v>24155.067500000001</v>
      </c>
      <c r="D869" s="14">
        <v>10100.818600000001</v>
      </c>
    </row>
    <row r="870" spans="1:4" s="1" customFormat="1" ht="19.75" customHeight="1" x14ac:dyDescent="0.25">
      <c r="A870" s="9">
        <f>2016</f>
        <v>2016</v>
      </c>
      <c r="B870" s="4" t="s">
        <v>112</v>
      </c>
      <c r="C870" s="5">
        <v>648.52530000000002</v>
      </c>
      <c r="D870" s="13">
        <v>615.91750000000002</v>
      </c>
    </row>
    <row r="871" spans="1:4" s="1" customFormat="1" ht="19.75" customHeight="1" x14ac:dyDescent="0.25">
      <c r="A871" s="9">
        <f>2016</f>
        <v>2016</v>
      </c>
      <c r="B871" s="4" t="s">
        <v>54</v>
      </c>
      <c r="C871" s="2">
        <v>1963.1739</v>
      </c>
      <c r="D871" s="14">
        <v>557.72850000000005</v>
      </c>
    </row>
    <row r="872" spans="1:4" s="1" customFormat="1" ht="19.75" customHeight="1" x14ac:dyDescent="0.25">
      <c r="A872" s="9">
        <f>2016</f>
        <v>2016</v>
      </c>
      <c r="B872" s="4" t="s">
        <v>53</v>
      </c>
      <c r="C872" s="5">
        <v>1159.2715000000001</v>
      </c>
      <c r="D872" s="13">
        <v>432.04109999999997</v>
      </c>
    </row>
    <row r="873" spans="1:4" s="1" customFormat="1" ht="19.75" customHeight="1" x14ac:dyDescent="0.25">
      <c r="A873" s="9">
        <f>2016</f>
        <v>2016</v>
      </c>
      <c r="B873" s="4" t="s">
        <v>52</v>
      </c>
      <c r="C873" s="2">
        <v>1078.9627</v>
      </c>
      <c r="D873" s="14">
        <v>490.9314</v>
      </c>
    </row>
    <row r="874" spans="1:4" s="1" customFormat="1" ht="19.75" customHeight="1" x14ac:dyDescent="0.25">
      <c r="A874" s="9">
        <f>2016</f>
        <v>2016</v>
      </c>
      <c r="B874" s="4" t="s">
        <v>51</v>
      </c>
      <c r="C874" s="5">
        <v>899.59649999999999</v>
      </c>
      <c r="D874" s="13">
        <v>380.90289999999999</v>
      </c>
    </row>
    <row r="875" spans="1:4" s="1" customFormat="1" ht="19.75" customHeight="1" x14ac:dyDescent="0.25">
      <c r="A875" s="9">
        <f>2016</f>
        <v>2016</v>
      </c>
      <c r="B875" s="4" t="s">
        <v>50</v>
      </c>
      <c r="C875" s="2">
        <v>5240.4476000000004</v>
      </c>
      <c r="D875" s="14">
        <v>1892.1204</v>
      </c>
    </row>
    <row r="876" spans="1:4" s="1" customFormat="1" ht="19.75" customHeight="1" x14ac:dyDescent="0.25">
      <c r="A876" s="9">
        <f>2016</f>
        <v>2016</v>
      </c>
      <c r="B876" s="4" t="s">
        <v>48</v>
      </c>
      <c r="C876" s="5">
        <v>32629.933000000001</v>
      </c>
      <c r="D876" s="13">
        <v>16979.7</v>
      </c>
    </row>
    <row r="877" spans="1:4" s="1" customFormat="1" ht="19.75" customHeight="1" x14ac:dyDescent="0.25">
      <c r="A877" s="9">
        <f>2016</f>
        <v>2016</v>
      </c>
      <c r="B877" s="4" t="s">
        <v>47</v>
      </c>
      <c r="C877" s="2">
        <v>31515.394899999999</v>
      </c>
      <c r="D877" s="14">
        <v>12683.558199999999</v>
      </c>
    </row>
    <row r="878" spans="1:4" s="1" customFormat="1" ht="19.75" customHeight="1" x14ac:dyDescent="0.25">
      <c r="A878" s="9">
        <f>2016</f>
        <v>2016</v>
      </c>
      <c r="B878" s="4" t="s">
        <v>111</v>
      </c>
      <c r="C878" s="5">
        <v>2801.5025000000001</v>
      </c>
      <c r="D878" s="13">
        <v>510.58159999999998</v>
      </c>
    </row>
    <row r="879" spans="1:4" s="1" customFormat="1" ht="19.75" customHeight="1" x14ac:dyDescent="0.25">
      <c r="A879" s="9">
        <f>2016</f>
        <v>2016</v>
      </c>
      <c r="B879" s="4" t="s">
        <v>46</v>
      </c>
      <c r="C879" s="2">
        <v>7355.1713</v>
      </c>
      <c r="D879" s="14">
        <v>3672.1008999999999</v>
      </c>
    </row>
    <row r="880" spans="1:4" s="1" customFormat="1" ht="19.75" customHeight="1" x14ac:dyDescent="0.25">
      <c r="A880" s="9">
        <f>2016</f>
        <v>2016</v>
      </c>
      <c r="B880" s="4" t="s">
        <v>44</v>
      </c>
      <c r="C880" s="5">
        <v>4133.4838</v>
      </c>
      <c r="D880" s="13">
        <v>1546.2021999999999</v>
      </c>
    </row>
    <row r="881" spans="1:4" s="1" customFormat="1" ht="19.75" customHeight="1" x14ac:dyDescent="0.25">
      <c r="A881" s="9">
        <f>2016</f>
        <v>2016</v>
      </c>
      <c r="B881" s="4" t="s">
        <v>43</v>
      </c>
      <c r="C881" s="2">
        <v>3689.3377</v>
      </c>
      <c r="D881" s="14">
        <v>991.20100000000002</v>
      </c>
    </row>
    <row r="882" spans="1:4" s="1" customFormat="1" ht="19.75" customHeight="1" x14ac:dyDescent="0.25">
      <c r="A882" s="9">
        <f>2016</f>
        <v>2016</v>
      </c>
      <c r="B882" s="4" t="s">
        <v>42</v>
      </c>
      <c r="C882" s="5">
        <v>3662.0338999999999</v>
      </c>
      <c r="D882" s="13">
        <v>1185.1241</v>
      </c>
    </row>
    <row r="883" spans="1:4" s="1" customFormat="1" ht="19.75" customHeight="1" x14ac:dyDescent="0.25">
      <c r="A883" s="9">
        <f>2016</f>
        <v>2016</v>
      </c>
      <c r="B883" s="4" t="s">
        <v>41</v>
      </c>
      <c r="C883" s="2">
        <v>9483.81</v>
      </c>
      <c r="D883" s="14">
        <v>5471.5196999999998</v>
      </c>
    </row>
    <row r="884" spans="1:4" s="1" customFormat="1" ht="19.75" customHeight="1" x14ac:dyDescent="0.25">
      <c r="A884" s="9">
        <f>2016</f>
        <v>2016</v>
      </c>
      <c r="B884" s="4" t="s">
        <v>40</v>
      </c>
      <c r="C884" s="5">
        <v>1922.9934000000001</v>
      </c>
      <c r="D884" s="13">
        <v>542.71400000000006</v>
      </c>
    </row>
    <row r="885" spans="1:4" s="1" customFormat="1" ht="19.75" customHeight="1" x14ac:dyDescent="0.25">
      <c r="A885" s="9">
        <f>2016</f>
        <v>2016</v>
      </c>
      <c r="B885" s="4" t="s">
        <v>38</v>
      </c>
      <c r="C885" s="2">
        <v>359.28210000000001</v>
      </c>
      <c r="D885" s="14">
        <v>122.2972</v>
      </c>
    </row>
    <row r="886" spans="1:4" s="1" customFormat="1" ht="19.75" customHeight="1" x14ac:dyDescent="0.25">
      <c r="A886" s="9">
        <f>2016</f>
        <v>2016</v>
      </c>
      <c r="B886" s="4" t="s">
        <v>37</v>
      </c>
      <c r="C886" s="5">
        <v>1925.1004</v>
      </c>
      <c r="D886" s="13">
        <v>767.33669999999995</v>
      </c>
    </row>
    <row r="887" spans="1:4" s="1" customFormat="1" ht="19.75" customHeight="1" x14ac:dyDescent="0.25">
      <c r="A887" s="9">
        <f>2016</f>
        <v>2016</v>
      </c>
      <c r="B887" s="4" t="s">
        <v>34</v>
      </c>
      <c r="C887" s="2">
        <v>4047.4998999999998</v>
      </c>
      <c r="D887" s="14">
        <v>1147.8429000000001</v>
      </c>
    </row>
    <row r="888" spans="1:4" s="1" customFormat="1" ht="19.75" customHeight="1" x14ac:dyDescent="0.25">
      <c r="A888" s="9">
        <f>2016</f>
        <v>2016</v>
      </c>
      <c r="B888" s="4" t="s">
        <v>33</v>
      </c>
      <c r="C888" s="5">
        <v>2208.1554999999998</v>
      </c>
      <c r="D888" s="13">
        <v>636.96339999999998</v>
      </c>
    </row>
    <row r="889" spans="1:4" s="1" customFormat="1" ht="19.75" customHeight="1" x14ac:dyDescent="0.25">
      <c r="A889" s="9">
        <f>2016</f>
        <v>2016</v>
      </c>
      <c r="B889" s="4" t="s">
        <v>31</v>
      </c>
      <c r="C889" s="2">
        <v>8966.7193000000007</v>
      </c>
      <c r="D889" s="14">
        <v>2976.3714</v>
      </c>
    </row>
    <row r="890" spans="1:4" s="1" customFormat="1" ht="19.75" customHeight="1" x14ac:dyDescent="0.25">
      <c r="A890" s="9">
        <f>2016</f>
        <v>2016</v>
      </c>
      <c r="B890" s="4" t="s">
        <v>30</v>
      </c>
      <c r="C890" s="5">
        <v>1.7213000000000001</v>
      </c>
      <c r="D890" s="13">
        <v>14.6311</v>
      </c>
    </row>
    <row r="891" spans="1:4" s="1" customFormat="1" ht="19.75" customHeight="1" x14ac:dyDescent="0.25">
      <c r="A891" s="9">
        <f>2016</f>
        <v>2016</v>
      </c>
      <c r="B891" s="4" t="s">
        <v>29</v>
      </c>
      <c r="C891" s="2">
        <v>138.5873</v>
      </c>
      <c r="D891" s="14">
        <v>38.460500000000003</v>
      </c>
    </row>
    <row r="892" spans="1:4" s="1" customFormat="1" ht="19.75" customHeight="1" x14ac:dyDescent="0.25">
      <c r="A892" s="9">
        <f>2016</f>
        <v>2016</v>
      </c>
      <c r="B892" s="4" t="s">
        <v>91</v>
      </c>
      <c r="C892" s="5">
        <v>147.8365</v>
      </c>
      <c r="D892" s="13">
        <v>828.48329999999999</v>
      </c>
    </row>
    <row r="893" spans="1:4" s="1" customFormat="1" ht="19.75" customHeight="1" x14ac:dyDescent="0.25">
      <c r="A893" s="9">
        <f>2016</f>
        <v>2016</v>
      </c>
      <c r="B893" s="4" t="s">
        <v>103</v>
      </c>
      <c r="C893" s="2">
        <v>188.84139999999999</v>
      </c>
      <c r="D893" s="14">
        <v>158.70689999999999</v>
      </c>
    </row>
    <row r="894" spans="1:4" s="1" customFormat="1" ht="19.75" customHeight="1" x14ac:dyDescent="0.25">
      <c r="A894" s="9">
        <f>2016</f>
        <v>2016</v>
      </c>
      <c r="B894" s="4" t="s">
        <v>27</v>
      </c>
      <c r="C894" s="5">
        <v>799.73919999999998</v>
      </c>
      <c r="D894" s="13">
        <v>585.42089999999996</v>
      </c>
    </row>
    <row r="895" spans="1:4" s="1" customFormat="1" ht="19.75" customHeight="1" x14ac:dyDescent="0.25">
      <c r="A895" s="9">
        <f>2016</f>
        <v>2016</v>
      </c>
      <c r="B895" s="4" t="s">
        <v>26</v>
      </c>
      <c r="C895" s="2">
        <v>71.571799999999996</v>
      </c>
      <c r="D895" s="14">
        <v>31.146599999999999</v>
      </c>
    </row>
    <row r="896" spans="1:4" s="1" customFormat="1" ht="19.75" customHeight="1" x14ac:dyDescent="0.25">
      <c r="A896" s="9">
        <f>2016</f>
        <v>2016</v>
      </c>
      <c r="B896" s="4" t="s">
        <v>25</v>
      </c>
      <c r="C896" s="5">
        <v>8.0599000000000007</v>
      </c>
      <c r="D896" s="13">
        <v>6.1984000000000004</v>
      </c>
    </row>
    <row r="897" spans="1:4" s="1" customFormat="1" ht="19.75" customHeight="1" x14ac:dyDescent="0.25">
      <c r="A897" s="9">
        <f>2016</f>
        <v>2016</v>
      </c>
      <c r="B897" s="4" t="s">
        <v>24</v>
      </c>
      <c r="C897" s="2">
        <v>379.06959999999998</v>
      </c>
      <c r="D897" s="14">
        <v>93.8018</v>
      </c>
    </row>
    <row r="898" spans="1:4" s="1" customFormat="1" ht="19.75" customHeight="1" x14ac:dyDescent="0.25">
      <c r="A898" s="9">
        <f>2016</f>
        <v>2016</v>
      </c>
      <c r="B898" s="4" t="s">
        <v>23</v>
      </c>
      <c r="C898" s="5">
        <v>833.0308</v>
      </c>
      <c r="D898" s="13">
        <v>392.62029999999999</v>
      </c>
    </row>
    <row r="899" spans="1:4" s="1" customFormat="1" ht="19.75" customHeight="1" x14ac:dyDescent="0.25">
      <c r="A899" s="9">
        <f>2016</f>
        <v>2016</v>
      </c>
      <c r="B899" s="4" t="s">
        <v>22</v>
      </c>
      <c r="C899" s="2">
        <v>1230.8126999999999</v>
      </c>
      <c r="D899" s="14">
        <v>503.49799999999999</v>
      </c>
    </row>
    <row r="900" spans="1:4" s="1" customFormat="1" ht="19.75" customHeight="1" x14ac:dyDescent="0.25">
      <c r="A900" s="9">
        <f>2016</f>
        <v>2016</v>
      </c>
      <c r="B900" s="4" t="s">
        <v>21</v>
      </c>
      <c r="C900" s="5">
        <v>4248.16</v>
      </c>
      <c r="D900" s="13">
        <v>3453.23</v>
      </c>
    </row>
    <row r="901" spans="1:4" s="1" customFormat="1" ht="19.75" customHeight="1" x14ac:dyDescent="0.25">
      <c r="A901" s="9">
        <f>2016</f>
        <v>2016</v>
      </c>
      <c r="B901" s="4" t="s">
        <v>96</v>
      </c>
      <c r="C901" s="2">
        <v>10.967499999999999</v>
      </c>
      <c r="D901" s="14">
        <v>27.6127</v>
      </c>
    </row>
    <row r="902" spans="1:4" s="1" customFormat="1" ht="19.75" customHeight="1" x14ac:dyDescent="0.25">
      <c r="A902" s="9">
        <f>2016</f>
        <v>2016</v>
      </c>
      <c r="B902" s="4" t="s">
        <v>102</v>
      </c>
      <c r="C902" s="5">
        <v>95.3613</v>
      </c>
      <c r="D902" s="13">
        <v>84.066100000000006</v>
      </c>
    </row>
    <row r="903" spans="1:4" s="1" customFormat="1" ht="19.75" customHeight="1" x14ac:dyDescent="0.25">
      <c r="A903" s="9">
        <f>2016</f>
        <v>2016</v>
      </c>
      <c r="B903" s="4" t="s">
        <v>20</v>
      </c>
      <c r="C903" s="2">
        <v>191.77420000000001</v>
      </c>
      <c r="D903" s="14">
        <v>116.256</v>
      </c>
    </row>
    <row r="904" spans="1:4" s="1" customFormat="1" ht="19.75" customHeight="1" x14ac:dyDescent="0.25">
      <c r="A904" s="9">
        <f>2016</f>
        <v>2016</v>
      </c>
      <c r="B904" s="4" t="s">
        <v>101</v>
      </c>
      <c r="C904" s="5">
        <v>475.87670000000003</v>
      </c>
      <c r="D904" s="13">
        <v>77.217500000000001</v>
      </c>
    </row>
    <row r="905" spans="1:4" s="1" customFormat="1" ht="19.75" customHeight="1" x14ac:dyDescent="0.25">
      <c r="A905" s="9">
        <f>2016</f>
        <v>2016</v>
      </c>
      <c r="B905" s="4" t="s">
        <v>19</v>
      </c>
      <c r="C905" s="2">
        <v>16.098600000000001</v>
      </c>
      <c r="D905" s="14">
        <v>29.785299999999999</v>
      </c>
    </row>
    <row r="906" spans="1:4" s="1" customFormat="1" ht="19.75" customHeight="1" x14ac:dyDescent="0.25">
      <c r="A906" s="9">
        <f>2016</f>
        <v>2016</v>
      </c>
      <c r="B906" s="4" t="s">
        <v>18</v>
      </c>
      <c r="C906" s="5">
        <v>1339.0135</v>
      </c>
      <c r="D906" s="13">
        <v>602.6943</v>
      </c>
    </row>
    <row r="907" spans="1:4" s="1" customFormat="1" ht="19.75" customHeight="1" x14ac:dyDescent="0.25">
      <c r="A907" s="9">
        <f>2016</f>
        <v>2016</v>
      </c>
      <c r="B907" s="4" t="s">
        <v>17</v>
      </c>
      <c r="C907" s="2">
        <v>2139.9982</v>
      </c>
      <c r="D907" s="14">
        <v>1327.7798</v>
      </c>
    </row>
    <row r="908" spans="1:4" s="1" customFormat="1" ht="19.75" customHeight="1" x14ac:dyDescent="0.25">
      <c r="A908" s="9">
        <f>2016</f>
        <v>2016</v>
      </c>
      <c r="B908" s="4" t="s">
        <v>107</v>
      </c>
      <c r="C908" s="5">
        <v>10.8353</v>
      </c>
      <c r="D908" s="13">
        <v>25.8872</v>
      </c>
    </row>
    <row r="909" spans="1:4" s="1" customFormat="1" ht="19.75" customHeight="1" x14ac:dyDescent="0.25">
      <c r="A909" s="9">
        <f>2016</f>
        <v>2016</v>
      </c>
      <c r="B909" s="4" t="s">
        <v>110</v>
      </c>
      <c r="C909" s="3"/>
      <c r="D909" s="14">
        <v>24.658000000000001</v>
      </c>
    </row>
    <row r="910" spans="1:4" s="1" customFormat="1" ht="19.75" customHeight="1" x14ac:dyDescent="0.25">
      <c r="A910" s="9">
        <f>2016</f>
        <v>2016</v>
      </c>
      <c r="B910" s="4" t="s">
        <v>94</v>
      </c>
      <c r="C910" s="5">
        <v>76.347899999999996</v>
      </c>
      <c r="D910" s="13">
        <v>127.51130000000001</v>
      </c>
    </row>
    <row r="911" spans="1:4" s="1" customFormat="1" ht="19.75" customHeight="1" x14ac:dyDescent="0.25">
      <c r="A911" s="9">
        <f>2016</f>
        <v>2016</v>
      </c>
      <c r="B911" s="4" t="s">
        <v>16</v>
      </c>
      <c r="C911" s="2">
        <v>4126.7615999999998</v>
      </c>
      <c r="D911" s="14">
        <v>2699.9041999999999</v>
      </c>
    </row>
    <row r="912" spans="1:4" s="1" customFormat="1" ht="19.75" customHeight="1" x14ac:dyDescent="0.25">
      <c r="A912" s="9">
        <f>2016</f>
        <v>2016</v>
      </c>
      <c r="B912" s="4" t="s">
        <v>100</v>
      </c>
      <c r="C912" s="5">
        <v>31.4404</v>
      </c>
      <c r="D912" s="13">
        <v>36.884</v>
      </c>
    </row>
    <row r="913" spans="1:4" s="1" customFormat="1" ht="19.75" customHeight="1" x14ac:dyDescent="0.25">
      <c r="A913" s="9">
        <f>2016</f>
        <v>2016</v>
      </c>
      <c r="B913" s="4" t="s">
        <v>109</v>
      </c>
      <c r="C913" s="2">
        <v>0.71799999999999997</v>
      </c>
      <c r="D913" s="14">
        <v>10.663</v>
      </c>
    </row>
    <row r="914" spans="1:4" s="1" customFormat="1" ht="19.75" customHeight="1" x14ac:dyDescent="0.25">
      <c r="A914" s="9">
        <f>2016</f>
        <v>2016</v>
      </c>
      <c r="B914" s="4" t="s">
        <v>13</v>
      </c>
      <c r="C914" s="5">
        <v>982.09559999999999</v>
      </c>
      <c r="D914" s="13">
        <v>236.21780000000001</v>
      </c>
    </row>
    <row r="915" spans="1:4" s="1" customFormat="1" ht="19.75" customHeight="1" x14ac:dyDescent="0.25">
      <c r="A915" s="9">
        <f>2016</f>
        <v>2016</v>
      </c>
      <c r="B915" s="4" t="s">
        <v>90</v>
      </c>
      <c r="C915" s="3"/>
      <c r="D915" s="14">
        <v>12.705500000000001</v>
      </c>
    </row>
    <row r="916" spans="1:4" s="1" customFormat="1" ht="19.75" customHeight="1" x14ac:dyDescent="0.25">
      <c r="A916" s="9">
        <f>2016</f>
        <v>2016</v>
      </c>
      <c r="B916" s="4" t="s">
        <v>88</v>
      </c>
      <c r="C916" s="5">
        <v>12.965199999999999</v>
      </c>
      <c r="D916" s="13">
        <v>16.7883</v>
      </c>
    </row>
    <row r="917" spans="1:4" s="1" customFormat="1" ht="19.75" customHeight="1" x14ac:dyDescent="0.25">
      <c r="A917" s="9">
        <f>2016</f>
        <v>2016</v>
      </c>
      <c r="B917" s="4" t="s">
        <v>108</v>
      </c>
      <c r="C917" s="2">
        <v>6.3857999999999997</v>
      </c>
      <c r="D917" s="14">
        <v>13.823600000000001</v>
      </c>
    </row>
    <row r="918" spans="1:4" s="1" customFormat="1" ht="19.75" customHeight="1" x14ac:dyDescent="0.25">
      <c r="A918" s="9">
        <f>2016</f>
        <v>2016</v>
      </c>
      <c r="B918" s="4" t="s">
        <v>11</v>
      </c>
      <c r="C918" s="5">
        <v>12.988799999999999</v>
      </c>
      <c r="D918" s="13">
        <v>3.5158999999999998</v>
      </c>
    </row>
    <row r="919" spans="1:4" s="1" customFormat="1" ht="19.75" customHeight="1" x14ac:dyDescent="0.25">
      <c r="A919" s="9">
        <f>2016</f>
        <v>2016</v>
      </c>
      <c r="B919" s="4" t="s">
        <v>10</v>
      </c>
      <c r="C919" s="2">
        <v>0.4698</v>
      </c>
      <c r="D919" s="14">
        <v>17.286200000000001</v>
      </c>
    </row>
    <row r="920" spans="1:4" s="1" customFormat="1" ht="19.75" customHeight="1" x14ac:dyDescent="0.25">
      <c r="A920" s="9">
        <f>2016</f>
        <v>2016</v>
      </c>
      <c r="B920" s="4" t="s">
        <v>9</v>
      </c>
      <c r="C920" s="5">
        <v>243.99379999999999</v>
      </c>
      <c r="D920" s="13">
        <v>213.3717</v>
      </c>
    </row>
    <row r="921" spans="1:4" s="1" customFormat="1" ht="19.75" customHeight="1" x14ac:dyDescent="0.25">
      <c r="A921" s="9">
        <f>2016</f>
        <v>2016</v>
      </c>
      <c r="B921" s="4" t="s">
        <v>8</v>
      </c>
      <c r="C921" s="2">
        <v>702.89059999999995</v>
      </c>
      <c r="D921" s="14">
        <v>237.03460000000001</v>
      </c>
    </row>
    <row r="922" spans="1:4" s="1" customFormat="1" ht="19.75" customHeight="1" x14ac:dyDescent="0.25">
      <c r="A922" s="9">
        <f>2016</f>
        <v>2016</v>
      </c>
      <c r="B922" s="4" t="s">
        <v>99</v>
      </c>
      <c r="C922" s="5">
        <v>0.2359</v>
      </c>
      <c r="D922" s="13">
        <v>37.5625</v>
      </c>
    </row>
    <row r="923" spans="1:4" s="1" customFormat="1" ht="19.75" customHeight="1" x14ac:dyDescent="0.25">
      <c r="A923" s="9">
        <f>2016</f>
        <v>2016</v>
      </c>
      <c r="B923" s="4" t="s">
        <v>7</v>
      </c>
      <c r="C923" s="2">
        <v>2.8203999999999998</v>
      </c>
      <c r="D923" s="14">
        <v>18.780899999999999</v>
      </c>
    </row>
    <row r="924" spans="1:4" s="1" customFormat="1" ht="19.75" customHeight="1" x14ac:dyDescent="0.25">
      <c r="A924" s="9">
        <f>2016</f>
        <v>2016</v>
      </c>
      <c r="B924" s="4" t="s">
        <v>98</v>
      </c>
      <c r="C924" s="5">
        <v>10.6027</v>
      </c>
      <c r="D924" s="13">
        <v>15.0692</v>
      </c>
    </row>
    <row r="925" spans="1:4" s="1" customFormat="1" ht="19.75" customHeight="1" x14ac:dyDescent="0.25">
      <c r="A925" s="9">
        <f>2016</f>
        <v>2016</v>
      </c>
      <c r="B925" s="4" t="s">
        <v>6</v>
      </c>
      <c r="C925" s="2">
        <v>83.063900000000004</v>
      </c>
      <c r="D925" s="14">
        <v>38.436700000000002</v>
      </c>
    </row>
    <row r="926" spans="1:4" s="1" customFormat="1" ht="19.75" customHeight="1" x14ac:dyDescent="0.25">
      <c r="A926" s="9">
        <f>2016</f>
        <v>2016</v>
      </c>
      <c r="B926" s="4" t="s">
        <v>5</v>
      </c>
      <c r="C926" s="5">
        <v>186.13059999999999</v>
      </c>
      <c r="D926" s="13">
        <v>58.104300000000002</v>
      </c>
    </row>
    <row r="927" spans="1:4" s="1" customFormat="1" ht="19.75" customHeight="1" x14ac:dyDescent="0.25">
      <c r="A927" s="9">
        <f>2016</f>
        <v>2016</v>
      </c>
      <c r="B927" s="4" t="s">
        <v>4</v>
      </c>
      <c r="C927" s="2">
        <v>242.6763</v>
      </c>
      <c r="D927" s="14">
        <v>127.23520000000001</v>
      </c>
    </row>
    <row r="928" spans="1:4" s="1" customFormat="1" ht="19.75" customHeight="1" x14ac:dyDescent="0.25">
      <c r="A928" s="9">
        <f>2016</f>
        <v>2016</v>
      </c>
      <c r="B928" s="4" t="s">
        <v>3</v>
      </c>
      <c r="C928" s="5">
        <v>1.5963000000000001</v>
      </c>
      <c r="D928" s="13">
        <v>6.8094000000000001</v>
      </c>
    </row>
    <row r="929" spans="1:4" s="1" customFormat="1" ht="19.75" customHeight="1" x14ac:dyDescent="0.25">
      <c r="A929" s="9">
        <f>2016</f>
        <v>2016</v>
      </c>
      <c r="B929" s="4" t="s">
        <v>2</v>
      </c>
      <c r="C929" s="2">
        <v>4154.0668999999998</v>
      </c>
      <c r="D929" s="14">
        <v>2917.5223000000001</v>
      </c>
    </row>
    <row r="930" spans="1:4" s="1" customFormat="1" ht="19.75" customHeight="1" x14ac:dyDescent="0.25">
      <c r="A930" s="9">
        <f>2016</f>
        <v>2016</v>
      </c>
      <c r="B930" s="4" t="s">
        <v>105</v>
      </c>
      <c r="C930" s="5">
        <v>295.43720000000002</v>
      </c>
      <c r="D930" s="13">
        <v>99.444500000000005</v>
      </c>
    </row>
    <row r="931" spans="1:4" s="1" customFormat="1" ht="19.75" customHeight="1" x14ac:dyDescent="0.25">
      <c r="A931" s="9">
        <f>2016</f>
        <v>2016</v>
      </c>
      <c r="B931" s="4" t="s">
        <v>93</v>
      </c>
      <c r="C931" s="2">
        <v>481.88080000000002</v>
      </c>
      <c r="D931" s="14">
        <v>749.50049999999999</v>
      </c>
    </row>
    <row r="932" spans="1:4" s="1" customFormat="1" ht="19.75" customHeight="1" x14ac:dyDescent="0.25">
      <c r="A932" s="9">
        <f>2016</f>
        <v>2016</v>
      </c>
      <c r="B932" s="4" t="s">
        <v>95</v>
      </c>
      <c r="C932" s="5">
        <v>30.508400000000002</v>
      </c>
      <c r="D932" s="13">
        <v>23.5153</v>
      </c>
    </row>
    <row r="933" spans="1:4" s="1" customFormat="1" ht="19.75" customHeight="1" x14ac:dyDescent="0.25">
      <c r="A933" s="9">
        <f>2016</f>
        <v>2016</v>
      </c>
      <c r="B933" s="4" t="s">
        <v>104</v>
      </c>
      <c r="C933" s="2">
        <v>80.120900000000006</v>
      </c>
      <c r="D933" s="14">
        <v>48.4724</v>
      </c>
    </row>
    <row r="934" spans="1:4" s="1" customFormat="1" ht="19.75" customHeight="1" x14ac:dyDescent="0.25">
      <c r="A934" s="9">
        <f>2016</f>
        <v>2016</v>
      </c>
      <c r="B934" s="4" t="s">
        <v>97</v>
      </c>
      <c r="C934" s="5">
        <v>31.3764</v>
      </c>
      <c r="D934" s="13">
        <v>16.7605</v>
      </c>
    </row>
    <row r="935" spans="1:4" s="1" customFormat="1" ht="19.75" customHeight="1" x14ac:dyDescent="0.25">
      <c r="A935" s="9">
        <f>2015</f>
        <v>2015</v>
      </c>
      <c r="B935" s="4" t="s">
        <v>87</v>
      </c>
      <c r="C935" s="2">
        <v>6064.0171</v>
      </c>
      <c r="D935" s="14">
        <v>1763.7137</v>
      </c>
    </row>
    <row r="936" spans="1:4" s="1" customFormat="1" ht="19.75" customHeight="1" x14ac:dyDescent="0.25">
      <c r="A936" s="9">
        <f>2015</f>
        <v>2015</v>
      </c>
      <c r="B936" s="4" t="s">
        <v>86</v>
      </c>
      <c r="C936" s="5">
        <v>9431.1468999999997</v>
      </c>
      <c r="D936" s="13">
        <v>2804.0104000000001</v>
      </c>
    </row>
    <row r="937" spans="1:4" s="1" customFormat="1" ht="19.75" customHeight="1" x14ac:dyDescent="0.25">
      <c r="A937" s="9">
        <f>2015</f>
        <v>2015</v>
      </c>
      <c r="B937" s="4" t="s">
        <v>85</v>
      </c>
      <c r="C937" s="2">
        <v>97381.823600000003</v>
      </c>
      <c r="D937" s="14">
        <v>38053.871400000004</v>
      </c>
    </row>
    <row r="938" spans="1:4" s="1" customFormat="1" ht="19.75" customHeight="1" x14ac:dyDescent="0.25">
      <c r="A938" s="9">
        <f>2015</f>
        <v>2015</v>
      </c>
      <c r="B938" s="4" t="s">
        <v>83</v>
      </c>
      <c r="C938" s="5">
        <v>4853.0851000000002</v>
      </c>
      <c r="D938" s="13">
        <v>1523.5255</v>
      </c>
    </row>
    <row r="939" spans="1:4" s="1" customFormat="1" ht="19.75" customHeight="1" x14ac:dyDescent="0.25">
      <c r="A939" s="9">
        <f>2015</f>
        <v>2015</v>
      </c>
      <c r="B939" s="4" t="s">
        <v>82</v>
      </c>
      <c r="C939" s="2">
        <v>7754.4143999999997</v>
      </c>
      <c r="D939" s="14">
        <v>2004.193</v>
      </c>
    </row>
    <row r="940" spans="1:4" s="1" customFormat="1" ht="19.75" customHeight="1" x14ac:dyDescent="0.25">
      <c r="A940" s="9">
        <f>2015</f>
        <v>2015</v>
      </c>
      <c r="B940" s="4" t="s">
        <v>80</v>
      </c>
      <c r="C940" s="5">
        <v>7285.4661999999998</v>
      </c>
      <c r="D940" s="13">
        <v>1925.768</v>
      </c>
    </row>
    <row r="941" spans="1:4" s="1" customFormat="1" ht="19.75" customHeight="1" x14ac:dyDescent="0.25">
      <c r="A941" s="9">
        <f>2015</f>
        <v>2015</v>
      </c>
      <c r="B941" s="4" t="s">
        <v>79</v>
      </c>
      <c r="C941" s="2">
        <v>13538.242099999999</v>
      </c>
      <c r="D941" s="14">
        <v>3714.1732000000002</v>
      </c>
    </row>
    <row r="942" spans="1:4" s="1" customFormat="1" ht="19.75" customHeight="1" x14ac:dyDescent="0.25">
      <c r="A942" s="9">
        <f>2015</f>
        <v>2015</v>
      </c>
      <c r="B942" s="4" t="s">
        <v>78</v>
      </c>
      <c r="C942" s="5">
        <v>11830.5712</v>
      </c>
      <c r="D942" s="13">
        <v>2739.4409999999998</v>
      </c>
    </row>
    <row r="943" spans="1:4" s="1" customFormat="1" ht="19.75" customHeight="1" x14ac:dyDescent="0.25">
      <c r="A943" s="9">
        <f>2015</f>
        <v>2015</v>
      </c>
      <c r="B943" s="4" t="s">
        <v>77</v>
      </c>
      <c r="C943" s="2">
        <v>29776.324100000002</v>
      </c>
      <c r="D943" s="14">
        <v>7674.1273000000001</v>
      </c>
    </row>
    <row r="944" spans="1:4" s="1" customFormat="1" ht="19.75" customHeight="1" x14ac:dyDescent="0.25">
      <c r="A944" s="9">
        <f>2015</f>
        <v>2015</v>
      </c>
      <c r="B944" s="4" t="s">
        <v>76</v>
      </c>
      <c r="C944" s="5">
        <v>32086.2461</v>
      </c>
      <c r="D944" s="13">
        <v>8088.5870000000004</v>
      </c>
    </row>
    <row r="945" spans="1:4" s="1" customFormat="1" ht="19.75" customHeight="1" x14ac:dyDescent="0.25">
      <c r="A945" s="9">
        <f>2015</f>
        <v>2015</v>
      </c>
      <c r="B945" s="4" t="s">
        <v>75</v>
      </c>
      <c r="C945" s="2">
        <v>8790.4046999999991</v>
      </c>
      <c r="D945" s="14">
        <v>2525.9304000000002</v>
      </c>
    </row>
    <row r="946" spans="1:4" s="1" customFormat="1" ht="19.75" customHeight="1" x14ac:dyDescent="0.25">
      <c r="A946" s="9">
        <f>2015</f>
        <v>2015</v>
      </c>
      <c r="B946" s="4" t="s">
        <v>106</v>
      </c>
      <c r="C946" s="5">
        <v>33.415300000000002</v>
      </c>
      <c r="D946" s="13">
        <v>72.987499999999997</v>
      </c>
    </row>
    <row r="947" spans="1:4" s="1" customFormat="1" ht="19.75" customHeight="1" x14ac:dyDescent="0.25">
      <c r="A947" s="9">
        <f>2015</f>
        <v>2015</v>
      </c>
      <c r="B947" s="4" t="s">
        <v>74</v>
      </c>
      <c r="C947" s="2">
        <v>34086.374400000001</v>
      </c>
      <c r="D947" s="14">
        <v>7263.5513000000001</v>
      </c>
    </row>
    <row r="948" spans="1:4" s="1" customFormat="1" ht="19.75" customHeight="1" x14ac:dyDescent="0.25">
      <c r="A948" s="9">
        <f>2015</f>
        <v>2015</v>
      </c>
      <c r="B948" s="4" t="s">
        <v>73</v>
      </c>
      <c r="C948" s="5">
        <v>19161.710500000001</v>
      </c>
      <c r="D948" s="13">
        <v>5582.1791999999996</v>
      </c>
    </row>
    <row r="949" spans="1:4" s="1" customFormat="1" ht="19.75" customHeight="1" x14ac:dyDescent="0.25">
      <c r="A949" s="9">
        <f>2015</f>
        <v>2015</v>
      </c>
      <c r="B949" s="4" t="s">
        <v>72</v>
      </c>
      <c r="C949" s="2">
        <v>15486.1042</v>
      </c>
      <c r="D949" s="14">
        <v>2525.3571000000002</v>
      </c>
    </row>
    <row r="950" spans="1:4" s="1" customFormat="1" ht="19.75" customHeight="1" x14ac:dyDescent="0.25">
      <c r="A950" s="9">
        <f>2015</f>
        <v>2015</v>
      </c>
      <c r="B950" s="4" t="s">
        <v>71</v>
      </c>
      <c r="C950" s="5">
        <v>8315.6232</v>
      </c>
      <c r="D950" s="13">
        <v>1838.9247</v>
      </c>
    </row>
    <row r="951" spans="1:4" s="1" customFormat="1" ht="19.75" customHeight="1" x14ac:dyDescent="0.25">
      <c r="A951" s="9">
        <f>2015</f>
        <v>2015</v>
      </c>
      <c r="B951" s="4" t="s">
        <v>92</v>
      </c>
      <c r="C951" s="2">
        <v>22406.0995</v>
      </c>
      <c r="D951" s="14">
        <v>4027.4178000000002</v>
      </c>
    </row>
    <row r="952" spans="1:4" s="1" customFormat="1" ht="19.75" customHeight="1" x14ac:dyDescent="0.25">
      <c r="A952" s="9">
        <f>2015</f>
        <v>2015</v>
      </c>
      <c r="B952" s="4" t="s">
        <v>69</v>
      </c>
      <c r="C952" s="5">
        <v>11391.6546</v>
      </c>
      <c r="D952" s="13">
        <v>2810.9259000000002</v>
      </c>
    </row>
    <row r="953" spans="1:4" s="1" customFormat="1" ht="19.75" customHeight="1" x14ac:dyDescent="0.25">
      <c r="A953" s="9">
        <f>2015</f>
        <v>2015</v>
      </c>
      <c r="B953" s="4" t="s">
        <v>68</v>
      </c>
      <c r="C953" s="2">
        <v>18554.375899999999</v>
      </c>
      <c r="D953" s="14">
        <v>4200.2134999999998</v>
      </c>
    </row>
    <row r="954" spans="1:4" s="1" customFormat="1" ht="19.75" customHeight="1" x14ac:dyDescent="0.25">
      <c r="A954" s="9">
        <f>2015</f>
        <v>2015</v>
      </c>
      <c r="B954" s="4" t="s">
        <v>67</v>
      </c>
      <c r="C954" s="5">
        <v>14877.184499999999</v>
      </c>
      <c r="D954" s="13">
        <v>3258.9508999999998</v>
      </c>
    </row>
    <row r="955" spans="1:4" s="1" customFormat="1" ht="19.75" customHeight="1" x14ac:dyDescent="0.25">
      <c r="A955" s="9">
        <f>2015</f>
        <v>2015</v>
      </c>
      <c r="B955" s="4" t="s">
        <v>66</v>
      </c>
      <c r="C955" s="2">
        <v>6909.3525</v>
      </c>
      <c r="D955" s="14">
        <v>1332.4975999999999</v>
      </c>
    </row>
    <row r="956" spans="1:4" s="1" customFormat="1" ht="19.75" customHeight="1" x14ac:dyDescent="0.25">
      <c r="A956" s="9">
        <f>2015</f>
        <v>2015</v>
      </c>
      <c r="B956" s="4" t="s">
        <v>65</v>
      </c>
      <c r="C956" s="5">
        <v>29759.794000000002</v>
      </c>
      <c r="D956" s="13">
        <v>10491.547699999999</v>
      </c>
    </row>
    <row r="957" spans="1:4" s="1" customFormat="1" ht="19.75" customHeight="1" x14ac:dyDescent="0.25">
      <c r="A957" s="9">
        <f>2015</f>
        <v>2015</v>
      </c>
      <c r="B957" s="4" t="s">
        <v>64</v>
      </c>
      <c r="C957" s="2">
        <v>16094.872300000001</v>
      </c>
      <c r="D957" s="14">
        <v>3622.5954000000002</v>
      </c>
    </row>
    <row r="958" spans="1:4" s="1" customFormat="1" ht="19.75" customHeight="1" x14ac:dyDescent="0.25">
      <c r="A958" s="9">
        <f>2015</f>
        <v>2015</v>
      </c>
      <c r="B958" s="4" t="s">
        <v>63</v>
      </c>
      <c r="C958" s="5">
        <v>13796.539000000001</v>
      </c>
      <c r="D958" s="13">
        <v>2655.7784000000001</v>
      </c>
    </row>
    <row r="959" spans="1:4" s="1" customFormat="1" ht="19.75" customHeight="1" x14ac:dyDescent="0.25">
      <c r="A959" s="9">
        <f>2015</f>
        <v>2015</v>
      </c>
      <c r="B959" s="4" t="s">
        <v>62</v>
      </c>
      <c r="C959" s="2">
        <v>23640.065600000002</v>
      </c>
      <c r="D959" s="14">
        <v>6143.4287999999997</v>
      </c>
    </row>
    <row r="960" spans="1:4" s="1" customFormat="1" ht="19.75" customHeight="1" x14ac:dyDescent="0.25">
      <c r="A960" s="9">
        <f>2015</f>
        <v>2015</v>
      </c>
      <c r="B960" s="4" t="s">
        <v>61</v>
      </c>
      <c r="C960" s="5">
        <v>7689.8154999999997</v>
      </c>
      <c r="D960" s="13">
        <v>1809.6282000000001</v>
      </c>
    </row>
    <row r="961" spans="1:4" s="1" customFormat="1" ht="19.75" customHeight="1" x14ac:dyDescent="0.25">
      <c r="A961" s="9">
        <f>2015</f>
        <v>2015</v>
      </c>
      <c r="B961" s="4" t="s">
        <v>60</v>
      </c>
      <c r="C961" s="2">
        <v>9981.2473000000009</v>
      </c>
      <c r="D961" s="14">
        <v>1912.212</v>
      </c>
    </row>
    <row r="962" spans="1:4" s="1" customFormat="1" ht="19.75" customHeight="1" x14ac:dyDescent="0.25">
      <c r="A962" s="9">
        <f>2015</f>
        <v>2015</v>
      </c>
      <c r="B962" s="4" t="s">
        <v>59</v>
      </c>
      <c r="C962" s="5">
        <v>21254.459500000001</v>
      </c>
      <c r="D962" s="13">
        <v>9203.7456000000002</v>
      </c>
    </row>
    <row r="963" spans="1:4" s="1" customFormat="1" ht="19.75" customHeight="1" x14ac:dyDescent="0.25">
      <c r="A963" s="9">
        <f>2015</f>
        <v>2015</v>
      </c>
      <c r="B963" s="4" t="s">
        <v>54</v>
      </c>
      <c r="C963" s="2">
        <v>1891.4880000000001</v>
      </c>
      <c r="D963" s="14">
        <v>507.93329999999997</v>
      </c>
    </row>
    <row r="964" spans="1:4" s="1" customFormat="1" ht="19.75" customHeight="1" x14ac:dyDescent="0.25">
      <c r="A964" s="9">
        <f>2015</f>
        <v>2015</v>
      </c>
      <c r="B964" s="4" t="s">
        <v>53</v>
      </c>
      <c r="C964" s="5">
        <v>1188.5763999999999</v>
      </c>
      <c r="D964" s="13">
        <v>433.23579999999998</v>
      </c>
    </row>
    <row r="965" spans="1:4" s="1" customFormat="1" ht="19.75" customHeight="1" x14ac:dyDescent="0.25">
      <c r="A965" s="9">
        <f>2015</f>
        <v>2015</v>
      </c>
      <c r="B965" s="4" t="s">
        <v>52</v>
      </c>
      <c r="C965" s="2">
        <v>914.19809999999995</v>
      </c>
      <c r="D965" s="14">
        <v>396.49310000000003</v>
      </c>
    </row>
    <row r="966" spans="1:4" s="1" customFormat="1" ht="19.75" customHeight="1" x14ac:dyDescent="0.25">
      <c r="A966" s="9">
        <f>2015</f>
        <v>2015</v>
      </c>
      <c r="B966" s="4" t="s">
        <v>51</v>
      </c>
      <c r="C966" s="5">
        <v>984.75109999999995</v>
      </c>
      <c r="D966" s="13">
        <v>358.19569999999999</v>
      </c>
    </row>
    <row r="967" spans="1:4" s="1" customFormat="1" ht="19.75" customHeight="1" x14ac:dyDescent="0.25">
      <c r="A967" s="9">
        <f>2015</f>
        <v>2015</v>
      </c>
      <c r="B967" s="4" t="s">
        <v>50</v>
      </c>
      <c r="C967" s="2">
        <v>5039.0589</v>
      </c>
      <c r="D967" s="14">
        <v>1630.9327000000001</v>
      </c>
    </row>
    <row r="968" spans="1:4" s="1" customFormat="1" ht="19.75" customHeight="1" x14ac:dyDescent="0.25">
      <c r="A968" s="9">
        <f>2015</f>
        <v>2015</v>
      </c>
      <c r="B968" s="4" t="s">
        <v>48</v>
      </c>
      <c r="C968" s="5">
        <v>26074.235199999999</v>
      </c>
      <c r="D968" s="13">
        <v>13987.5416</v>
      </c>
    </row>
    <row r="969" spans="1:4" s="1" customFormat="1" ht="19.75" customHeight="1" x14ac:dyDescent="0.25">
      <c r="A969" s="9">
        <f>2015</f>
        <v>2015</v>
      </c>
      <c r="B969" s="4" t="s">
        <v>47</v>
      </c>
      <c r="C969" s="2">
        <v>30051.529399999999</v>
      </c>
      <c r="D969" s="14">
        <v>11495.8307</v>
      </c>
    </row>
    <row r="970" spans="1:4" s="1" customFormat="1" ht="19.75" customHeight="1" x14ac:dyDescent="0.25">
      <c r="A970" s="9">
        <f>2015</f>
        <v>2015</v>
      </c>
      <c r="B970" s="4" t="s">
        <v>46</v>
      </c>
      <c r="C970" s="5">
        <v>6271.6885000000002</v>
      </c>
      <c r="D970" s="13">
        <v>2870.0625</v>
      </c>
    </row>
    <row r="971" spans="1:4" s="1" customFormat="1" ht="19.75" customHeight="1" x14ac:dyDescent="0.25">
      <c r="A971" s="9">
        <f>2015</f>
        <v>2015</v>
      </c>
      <c r="B971" s="4" t="s">
        <v>45</v>
      </c>
      <c r="C971" s="2">
        <v>3834.9686000000002</v>
      </c>
      <c r="D971" s="14">
        <v>1617.5852</v>
      </c>
    </row>
    <row r="972" spans="1:4" s="1" customFormat="1" ht="19.75" customHeight="1" x14ac:dyDescent="0.25">
      <c r="A972" s="9">
        <f>2015</f>
        <v>2015</v>
      </c>
      <c r="B972" s="4" t="s">
        <v>44</v>
      </c>
      <c r="C972" s="5">
        <v>4410.2241999999997</v>
      </c>
      <c r="D972" s="13">
        <v>1409.049</v>
      </c>
    </row>
    <row r="973" spans="1:4" s="1" customFormat="1" ht="19.75" customHeight="1" x14ac:dyDescent="0.25">
      <c r="A973" s="9">
        <f>2015</f>
        <v>2015</v>
      </c>
      <c r="B973" s="4" t="s">
        <v>43</v>
      </c>
      <c r="C973" s="2">
        <v>3529.5725000000002</v>
      </c>
      <c r="D973" s="14">
        <v>902.46680000000003</v>
      </c>
    </row>
    <row r="974" spans="1:4" s="1" customFormat="1" ht="19.75" customHeight="1" x14ac:dyDescent="0.25">
      <c r="A974" s="9">
        <f>2015</f>
        <v>2015</v>
      </c>
      <c r="B974" s="4" t="s">
        <v>42</v>
      </c>
      <c r="C974" s="5">
        <v>3929.9742999999999</v>
      </c>
      <c r="D974" s="13">
        <v>1094.7773</v>
      </c>
    </row>
    <row r="975" spans="1:4" s="1" customFormat="1" ht="19.75" customHeight="1" x14ac:dyDescent="0.25">
      <c r="A975" s="9">
        <f>2015</f>
        <v>2015</v>
      </c>
      <c r="B975" s="4" t="s">
        <v>41</v>
      </c>
      <c r="C975" s="2">
        <v>5496.1347999999998</v>
      </c>
      <c r="D975" s="14">
        <v>3254.7314000000001</v>
      </c>
    </row>
    <row r="976" spans="1:4" s="1" customFormat="1" ht="19.75" customHeight="1" x14ac:dyDescent="0.25">
      <c r="A976" s="9">
        <f>2015</f>
        <v>2015</v>
      </c>
      <c r="B976" s="4" t="s">
        <v>40</v>
      </c>
      <c r="C976" s="5">
        <v>1687.8767</v>
      </c>
      <c r="D976" s="13">
        <v>442.27969999999999</v>
      </c>
    </row>
    <row r="977" spans="1:4" s="1" customFormat="1" ht="19.75" customHeight="1" x14ac:dyDescent="0.25">
      <c r="A977" s="9">
        <f>2015</f>
        <v>2015</v>
      </c>
      <c r="B977" s="4" t="s">
        <v>38</v>
      </c>
      <c r="C977" s="2">
        <v>337.70670000000001</v>
      </c>
      <c r="D977" s="14">
        <v>113.6375</v>
      </c>
    </row>
    <row r="978" spans="1:4" s="1" customFormat="1" ht="19.75" customHeight="1" x14ac:dyDescent="0.25">
      <c r="A978" s="9">
        <f>2015</f>
        <v>2015</v>
      </c>
      <c r="B978" s="4" t="s">
        <v>37</v>
      </c>
      <c r="C978" s="5">
        <v>1396.7218</v>
      </c>
      <c r="D978" s="13">
        <v>599.65070000000003</v>
      </c>
    </row>
    <row r="979" spans="1:4" s="1" customFormat="1" ht="19.75" customHeight="1" x14ac:dyDescent="0.25">
      <c r="A979" s="9">
        <f>2015</f>
        <v>2015</v>
      </c>
      <c r="B979" s="4" t="s">
        <v>34</v>
      </c>
      <c r="C979" s="2">
        <v>3919.9929000000002</v>
      </c>
      <c r="D979" s="14">
        <v>981.30060000000003</v>
      </c>
    </row>
    <row r="980" spans="1:4" s="1" customFormat="1" ht="19.75" customHeight="1" x14ac:dyDescent="0.25">
      <c r="A980" s="9">
        <f>2015</f>
        <v>2015</v>
      </c>
      <c r="B980" s="4" t="s">
        <v>33</v>
      </c>
      <c r="C980" s="5">
        <v>1952.1048000000001</v>
      </c>
      <c r="D980" s="13">
        <v>567.94200000000001</v>
      </c>
    </row>
    <row r="981" spans="1:4" s="1" customFormat="1" ht="19.75" customHeight="1" x14ac:dyDescent="0.25">
      <c r="A981" s="9">
        <f>2015</f>
        <v>2015</v>
      </c>
      <c r="B981" s="4" t="s">
        <v>31</v>
      </c>
      <c r="C981" s="2">
        <v>8084.1692999999996</v>
      </c>
      <c r="D981" s="14">
        <v>2284.7060000000001</v>
      </c>
    </row>
    <row r="982" spans="1:4" s="1" customFormat="1" ht="19.75" customHeight="1" x14ac:dyDescent="0.25">
      <c r="A982" s="9">
        <f>2015</f>
        <v>2015</v>
      </c>
      <c r="B982" s="4" t="s">
        <v>30</v>
      </c>
      <c r="C982" s="5">
        <v>1.6042000000000001</v>
      </c>
      <c r="D982" s="13">
        <v>13.0143</v>
      </c>
    </row>
    <row r="983" spans="1:4" s="1" customFormat="1" ht="19.75" customHeight="1" x14ac:dyDescent="0.25">
      <c r="A983" s="9">
        <f>2015</f>
        <v>2015</v>
      </c>
      <c r="B983" s="4" t="s">
        <v>29</v>
      </c>
      <c r="C983" s="2">
        <v>130.53829999999999</v>
      </c>
      <c r="D983" s="14">
        <v>31.784199999999998</v>
      </c>
    </row>
    <row r="984" spans="1:4" s="1" customFormat="1" ht="19.75" customHeight="1" x14ac:dyDescent="0.25">
      <c r="A984" s="9">
        <f>2015</f>
        <v>2015</v>
      </c>
      <c r="B984" s="4" t="s">
        <v>91</v>
      </c>
      <c r="C984" s="5">
        <v>133.8263</v>
      </c>
      <c r="D984" s="13">
        <v>758.27800000000002</v>
      </c>
    </row>
    <row r="985" spans="1:4" s="1" customFormat="1" ht="19.75" customHeight="1" x14ac:dyDescent="0.25">
      <c r="A985" s="9">
        <f>2015</f>
        <v>2015</v>
      </c>
      <c r="B985" s="4" t="s">
        <v>103</v>
      </c>
      <c r="C985" s="2">
        <v>171.56270000000001</v>
      </c>
      <c r="D985" s="14">
        <v>138.02279999999999</v>
      </c>
    </row>
    <row r="986" spans="1:4" s="1" customFormat="1" ht="19.75" customHeight="1" x14ac:dyDescent="0.25">
      <c r="A986" s="9">
        <f>2015</f>
        <v>2015</v>
      </c>
      <c r="B986" s="4" t="s">
        <v>27</v>
      </c>
      <c r="C986" s="5">
        <v>645.65949999999998</v>
      </c>
      <c r="D986" s="13">
        <v>550.26440000000002</v>
      </c>
    </row>
    <row r="987" spans="1:4" s="1" customFormat="1" ht="19.75" customHeight="1" x14ac:dyDescent="0.25">
      <c r="A987" s="9">
        <f>2015</f>
        <v>2015</v>
      </c>
      <c r="B987" s="4" t="s">
        <v>26</v>
      </c>
      <c r="C987" s="2">
        <v>54.647199999999998</v>
      </c>
      <c r="D987" s="14">
        <v>27.890699999999999</v>
      </c>
    </row>
    <row r="988" spans="1:4" s="1" customFormat="1" ht="19.75" customHeight="1" x14ac:dyDescent="0.25">
      <c r="A988" s="9">
        <f>2015</f>
        <v>2015</v>
      </c>
      <c r="B988" s="4" t="s">
        <v>25</v>
      </c>
      <c r="C988" s="5">
        <v>7.0571000000000002</v>
      </c>
      <c r="D988" s="13">
        <v>6.5773000000000001</v>
      </c>
    </row>
    <row r="989" spans="1:4" s="1" customFormat="1" ht="19.75" customHeight="1" x14ac:dyDescent="0.25">
      <c r="A989" s="9">
        <f>2015</f>
        <v>2015</v>
      </c>
      <c r="B989" s="4" t="s">
        <v>24</v>
      </c>
      <c r="C989" s="2">
        <v>477.04390000000001</v>
      </c>
      <c r="D989" s="14">
        <v>122.38290000000001</v>
      </c>
    </row>
    <row r="990" spans="1:4" s="1" customFormat="1" ht="19.75" customHeight="1" x14ac:dyDescent="0.25">
      <c r="A990" s="9">
        <f>2015</f>
        <v>2015</v>
      </c>
      <c r="B990" s="4" t="s">
        <v>23</v>
      </c>
      <c r="C990" s="5">
        <v>709.80889999999999</v>
      </c>
      <c r="D990" s="13">
        <v>458.25810000000001</v>
      </c>
    </row>
    <row r="991" spans="1:4" s="1" customFormat="1" ht="19.75" customHeight="1" x14ac:dyDescent="0.25">
      <c r="A991" s="9">
        <f>2015</f>
        <v>2015</v>
      </c>
      <c r="B991" s="4" t="s">
        <v>22</v>
      </c>
      <c r="C991" s="2">
        <v>996.0095</v>
      </c>
      <c r="D991" s="14">
        <v>472.1789</v>
      </c>
    </row>
    <row r="992" spans="1:4" s="1" customFormat="1" ht="19.75" customHeight="1" x14ac:dyDescent="0.25">
      <c r="A992" s="9">
        <f>2015</f>
        <v>2015</v>
      </c>
      <c r="B992" s="4" t="s">
        <v>21</v>
      </c>
      <c r="C992" s="5">
        <v>4356.4399999999996</v>
      </c>
      <c r="D992" s="13">
        <v>3152.23</v>
      </c>
    </row>
    <row r="993" spans="1:4" s="1" customFormat="1" ht="19.75" customHeight="1" x14ac:dyDescent="0.25">
      <c r="A993" s="9">
        <f>2015</f>
        <v>2015</v>
      </c>
      <c r="B993" s="4" t="s">
        <v>96</v>
      </c>
      <c r="C993" s="2">
        <v>13.6126</v>
      </c>
      <c r="D993" s="14">
        <v>25.9404</v>
      </c>
    </row>
    <row r="994" spans="1:4" s="1" customFormat="1" ht="19.75" customHeight="1" x14ac:dyDescent="0.25">
      <c r="A994" s="9">
        <f>2015</f>
        <v>2015</v>
      </c>
      <c r="B994" s="4" t="s">
        <v>102</v>
      </c>
      <c r="C994" s="5">
        <v>59.232799999999997</v>
      </c>
      <c r="D994" s="13">
        <v>89.822100000000006</v>
      </c>
    </row>
    <row r="995" spans="1:4" s="1" customFormat="1" ht="19.75" customHeight="1" x14ac:dyDescent="0.25">
      <c r="A995" s="9">
        <f>2015</f>
        <v>2015</v>
      </c>
      <c r="B995" s="4" t="s">
        <v>20</v>
      </c>
      <c r="C995" s="2">
        <v>170.6491</v>
      </c>
      <c r="D995" s="14">
        <v>106.82810000000001</v>
      </c>
    </row>
    <row r="996" spans="1:4" s="1" customFormat="1" ht="19.75" customHeight="1" x14ac:dyDescent="0.25">
      <c r="A996" s="9">
        <f>2015</f>
        <v>2015</v>
      </c>
      <c r="B996" s="4" t="s">
        <v>101</v>
      </c>
      <c r="C996" s="5">
        <v>459.8707</v>
      </c>
      <c r="D996" s="13">
        <v>76.5488</v>
      </c>
    </row>
    <row r="997" spans="1:4" s="1" customFormat="1" ht="19.75" customHeight="1" x14ac:dyDescent="0.25">
      <c r="A997" s="9">
        <f>2015</f>
        <v>2015</v>
      </c>
      <c r="B997" s="4" t="s">
        <v>19</v>
      </c>
      <c r="C997" s="2">
        <v>15.6389</v>
      </c>
      <c r="D997" s="14">
        <v>29.621200000000002</v>
      </c>
    </row>
    <row r="998" spans="1:4" s="1" customFormat="1" ht="19.75" customHeight="1" x14ac:dyDescent="0.25">
      <c r="A998" s="9">
        <f>2015</f>
        <v>2015</v>
      </c>
      <c r="B998" s="4" t="s">
        <v>18</v>
      </c>
      <c r="C998" s="5">
        <v>1528.8130000000001</v>
      </c>
      <c r="D998" s="13">
        <v>601.25149999999996</v>
      </c>
    </row>
    <row r="999" spans="1:4" s="1" customFormat="1" ht="19.75" customHeight="1" x14ac:dyDescent="0.25">
      <c r="A999" s="9">
        <f>2015</f>
        <v>2015</v>
      </c>
      <c r="B999" s="4" t="s">
        <v>17</v>
      </c>
      <c r="C999" s="2">
        <v>1881.4246000000001</v>
      </c>
      <c r="D999" s="14">
        <v>1364.2257</v>
      </c>
    </row>
    <row r="1000" spans="1:4" s="1" customFormat="1" ht="19.75" customHeight="1" x14ac:dyDescent="0.25">
      <c r="A1000" s="9">
        <f>2015</f>
        <v>2015</v>
      </c>
      <c r="B1000" s="4" t="s">
        <v>107</v>
      </c>
      <c r="C1000" s="5">
        <v>8.9999999999999998E-4</v>
      </c>
      <c r="D1000" s="13">
        <v>7.9513999999999996</v>
      </c>
    </row>
    <row r="1001" spans="1:4" s="1" customFormat="1" ht="19.75" customHeight="1" x14ac:dyDescent="0.25">
      <c r="A1001" s="9">
        <f>2015</f>
        <v>2015</v>
      </c>
      <c r="B1001" s="4" t="s">
        <v>94</v>
      </c>
      <c r="C1001" s="2">
        <v>54.336399999999998</v>
      </c>
      <c r="D1001" s="14">
        <v>133.45670000000001</v>
      </c>
    </row>
    <row r="1002" spans="1:4" s="1" customFormat="1" ht="19.75" customHeight="1" x14ac:dyDescent="0.25">
      <c r="A1002" s="9">
        <f>2015</f>
        <v>2015</v>
      </c>
      <c r="B1002" s="4" t="s">
        <v>16</v>
      </c>
      <c r="C1002" s="5">
        <v>4370.3248000000003</v>
      </c>
      <c r="D1002" s="13">
        <v>3136.8125</v>
      </c>
    </row>
    <row r="1003" spans="1:4" s="1" customFormat="1" ht="19.75" customHeight="1" x14ac:dyDescent="0.25">
      <c r="A1003" s="9">
        <f>2015</f>
        <v>2015</v>
      </c>
      <c r="B1003" s="4" t="s">
        <v>15</v>
      </c>
      <c r="C1003" s="2">
        <v>8.4754000000000005</v>
      </c>
      <c r="D1003" s="14">
        <v>8.0126000000000008</v>
      </c>
    </row>
    <row r="1004" spans="1:4" s="1" customFormat="1" ht="19.75" customHeight="1" x14ac:dyDescent="0.25">
      <c r="A1004" s="9">
        <f>2015</f>
        <v>2015</v>
      </c>
      <c r="B1004" s="4" t="s">
        <v>100</v>
      </c>
      <c r="C1004" s="5">
        <v>33.444699999999997</v>
      </c>
      <c r="D1004" s="13">
        <v>32.517400000000002</v>
      </c>
    </row>
    <row r="1005" spans="1:4" s="1" customFormat="1" ht="19.75" customHeight="1" x14ac:dyDescent="0.25">
      <c r="A1005" s="9">
        <f>2015</f>
        <v>2015</v>
      </c>
      <c r="B1005" s="4" t="s">
        <v>13</v>
      </c>
      <c r="C1005" s="2">
        <v>853.46249999999998</v>
      </c>
      <c r="D1005" s="14">
        <v>236.55410000000001</v>
      </c>
    </row>
    <row r="1006" spans="1:4" s="1" customFormat="1" ht="19.75" customHeight="1" x14ac:dyDescent="0.25">
      <c r="A1006" s="9">
        <f>2015</f>
        <v>2015</v>
      </c>
      <c r="B1006" s="4" t="s">
        <v>90</v>
      </c>
      <c r="C1006" s="5">
        <v>0.2233</v>
      </c>
      <c r="D1006" s="13">
        <v>10.8285</v>
      </c>
    </row>
    <row r="1007" spans="1:4" s="1" customFormat="1" ht="19.75" customHeight="1" x14ac:dyDescent="0.25">
      <c r="A1007" s="9">
        <f>2015</f>
        <v>2015</v>
      </c>
      <c r="B1007" s="4" t="s">
        <v>88</v>
      </c>
      <c r="C1007" s="2">
        <v>18.5578</v>
      </c>
      <c r="D1007" s="14">
        <v>28.773499999999999</v>
      </c>
    </row>
    <row r="1008" spans="1:4" s="1" customFormat="1" ht="19.75" customHeight="1" x14ac:dyDescent="0.25">
      <c r="A1008" s="9">
        <f>2015</f>
        <v>2015</v>
      </c>
      <c r="B1008" s="4" t="s">
        <v>11</v>
      </c>
      <c r="C1008" s="5">
        <v>9.8821999999999992</v>
      </c>
      <c r="D1008" s="13">
        <v>3.4192</v>
      </c>
    </row>
    <row r="1009" spans="1:4" s="1" customFormat="1" ht="19.75" customHeight="1" x14ac:dyDescent="0.25">
      <c r="A1009" s="9">
        <f>2015</f>
        <v>2015</v>
      </c>
      <c r="B1009" s="4" t="s">
        <v>10</v>
      </c>
      <c r="C1009" s="2">
        <v>0.68510000000000004</v>
      </c>
      <c r="D1009" s="14">
        <v>17.540199999999999</v>
      </c>
    </row>
    <row r="1010" spans="1:4" s="1" customFormat="1" ht="19.75" customHeight="1" x14ac:dyDescent="0.25">
      <c r="A1010" s="9">
        <f>2015</f>
        <v>2015</v>
      </c>
      <c r="B1010" s="4" t="s">
        <v>9</v>
      </c>
      <c r="C1010" s="5">
        <v>143.58430000000001</v>
      </c>
      <c r="D1010" s="13">
        <v>171.86850000000001</v>
      </c>
    </row>
    <row r="1011" spans="1:4" s="1" customFormat="1" ht="19.75" customHeight="1" x14ac:dyDescent="0.25">
      <c r="A1011" s="9">
        <f>2015</f>
        <v>2015</v>
      </c>
      <c r="B1011" s="4" t="s">
        <v>8</v>
      </c>
      <c r="C1011" s="2">
        <v>569.65359999999998</v>
      </c>
      <c r="D1011" s="14">
        <v>223.6421</v>
      </c>
    </row>
    <row r="1012" spans="1:4" s="1" customFormat="1" ht="19.75" customHeight="1" x14ac:dyDescent="0.25">
      <c r="A1012" s="9">
        <f>2015</f>
        <v>2015</v>
      </c>
      <c r="B1012" s="4" t="s">
        <v>99</v>
      </c>
      <c r="C1012" s="5">
        <v>0.14419999999999999</v>
      </c>
      <c r="D1012" s="13">
        <v>37.588500000000003</v>
      </c>
    </row>
    <row r="1013" spans="1:4" s="1" customFormat="1" ht="19.75" customHeight="1" x14ac:dyDescent="0.25">
      <c r="A1013" s="9">
        <f>2015</f>
        <v>2015</v>
      </c>
      <c r="B1013" s="4" t="s">
        <v>7</v>
      </c>
      <c r="C1013" s="2">
        <v>3.8675000000000002</v>
      </c>
      <c r="D1013" s="14">
        <v>17.8931</v>
      </c>
    </row>
    <row r="1014" spans="1:4" s="1" customFormat="1" ht="19.75" customHeight="1" x14ac:dyDescent="0.25">
      <c r="A1014" s="9">
        <f>2015</f>
        <v>2015</v>
      </c>
      <c r="B1014" s="4" t="s">
        <v>98</v>
      </c>
      <c r="C1014" s="5">
        <v>14.676399999999999</v>
      </c>
      <c r="D1014" s="13">
        <v>16.4114</v>
      </c>
    </row>
    <row r="1015" spans="1:4" s="1" customFormat="1" ht="19.75" customHeight="1" x14ac:dyDescent="0.25">
      <c r="A1015" s="9">
        <f>2015</f>
        <v>2015</v>
      </c>
      <c r="B1015" s="4" t="s">
        <v>6</v>
      </c>
      <c r="C1015" s="2">
        <v>94.552199999999999</v>
      </c>
      <c r="D1015" s="14">
        <v>16.255099999999999</v>
      </c>
    </row>
    <row r="1016" spans="1:4" s="1" customFormat="1" ht="19.75" customHeight="1" x14ac:dyDescent="0.25">
      <c r="A1016" s="9">
        <f>2015</f>
        <v>2015</v>
      </c>
      <c r="B1016" s="4" t="s">
        <v>5</v>
      </c>
      <c r="C1016" s="5">
        <v>152.1867</v>
      </c>
      <c r="D1016" s="13">
        <v>52.701999999999998</v>
      </c>
    </row>
    <row r="1017" spans="1:4" s="1" customFormat="1" ht="19.75" customHeight="1" x14ac:dyDescent="0.25">
      <c r="A1017" s="9">
        <f>2015</f>
        <v>2015</v>
      </c>
      <c r="B1017" s="4" t="s">
        <v>4</v>
      </c>
      <c r="C1017" s="2">
        <v>240.54730000000001</v>
      </c>
      <c r="D1017" s="14">
        <v>115.6048</v>
      </c>
    </row>
    <row r="1018" spans="1:4" s="1" customFormat="1" ht="19.75" customHeight="1" x14ac:dyDescent="0.25">
      <c r="A1018" s="9">
        <f>2015</f>
        <v>2015</v>
      </c>
      <c r="B1018" s="4" t="s">
        <v>3</v>
      </c>
      <c r="C1018" s="5">
        <v>1.1698</v>
      </c>
      <c r="D1018" s="13">
        <v>6.3383000000000003</v>
      </c>
    </row>
    <row r="1019" spans="1:4" s="1" customFormat="1" ht="19.75" customHeight="1" x14ac:dyDescent="0.25">
      <c r="A1019" s="9">
        <f>2015</f>
        <v>2015</v>
      </c>
      <c r="B1019" s="4" t="s">
        <v>2</v>
      </c>
      <c r="C1019" s="2">
        <v>4558.8921</v>
      </c>
      <c r="D1019" s="14">
        <v>2975.9789000000001</v>
      </c>
    </row>
    <row r="1020" spans="1:4" s="1" customFormat="1" ht="19.75" customHeight="1" x14ac:dyDescent="0.25">
      <c r="A1020" s="9">
        <f>2015</f>
        <v>2015</v>
      </c>
      <c r="B1020" s="4" t="s">
        <v>105</v>
      </c>
      <c r="C1020" s="5">
        <v>104.9683</v>
      </c>
      <c r="D1020" s="13">
        <v>81.834599999999995</v>
      </c>
    </row>
    <row r="1021" spans="1:4" s="1" customFormat="1" ht="19.75" customHeight="1" x14ac:dyDescent="0.25">
      <c r="A1021" s="9">
        <f>2015</f>
        <v>2015</v>
      </c>
      <c r="B1021" s="4" t="s">
        <v>93</v>
      </c>
      <c r="C1021" s="2">
        <v>679.47109999999998</v>
      </c>
      <c r="D1021" s="14">
        <v>788.05139999999994</v>
      </c>
    </row>
    <row r="1022" spans="1:4" s="1" customFormat="1" ht="19.75" customHeight="1" x14ac:dyDescent="0.25">
      <c r="A1022" s="9">
        <f>2015</f>
        <v>2015</v>
      </c>
      <c r="B1022" s="4" t="s">
        <v>89</v>
      </c>
      <c r="C1022" s="6"/>
      <c r="D1022" s="13">
        <v>53.803600000000003</v>
      </c>
    </row>
    <row r="1023" spans="1:4" s="1" customFormat="1" ht="19.75" customHeight="1" x14ac:dyDescent="0.25">
      <c r="A1023" s="9">
        <f>2015</f>
        <v>2015</v>
      </c>
      <c r="B1023" s="4" t="s">
        <v>95</v>
      </c>
      <c r="C1023" s="2">
        <v>14.890700000000001</v>
      </c>
      <c r="D1023" s="14">
        <v>21.434000000000001</v>
      </c>
    </row>
    <row r="1024" spans="1:4" s="1" customFormat="1" ht="19.75" customHeight="1" x14ac:dyDescent="0.25">
      <c r="A1024" s="9">
        <f>2015</f>
        <v>2015</v>
      </c>
      <c r="B1024" s="4" t="s">
        <v>104</v>
      </c>
      <c r="C1024" s="5">
        <v>65.3887</v>
      </c>
      <c r="D1024" s="13">
        <v>50.710099999999997</v>
      </c>
    </row>
    <row r="1025" spans="1:4" s="1" customFormat="1" ht="19.75" customHeight="1" x14ac:dyDescent="0.25">
      <c r="A1025" s="9">
        <f>2015</f>
        <v>2015</v>
      </c>
      <c r="B1025" s="4" t="s">
        <v>97</v>
      </c>
      <c r="C1025" s="2">
        <v>25.066199999999998</v>
      </c>
      <c r="D1025" s="14">
        <v>13.8316</v>
      </c>
    </row>
    <row r="1026" spans="1:4" s="1" customFormat="1" ht="19.75" customHeight="1" x14ac:dyDescent="0.25">
      <c r="A1026" s="9">
        <f>2014</f>
        <v>2014</v>
      </c>
      <c r="B1026" s="4" t="s">
        <v>87</v>
      </c>
      <c r="C1026" s="5">
        <v>5344.7843999999996</v>
      </c>
      <c r="D1026" s="13">
        <v>2005.4505999999999</v>
      </c>
    </row>
    <row r="1027" spans="1:4" s="1" customFormat="1" ht="19.75" customHeight="1" x14ac:dyDescent="0.25">
      <c r="A1027" s="9">
        <f>2014</f>
        <v>2014</v>
      </c>
      <c r="B1027" s="4" t="s">
        <v>86</v>
      </c>
      <c r="C1027" s="2">
        <v>9490.8166000000001</v>
      </c>
      <c r="D1027" s="14">
        <v>2267.4677000000001</v>
      </c>
    </row>
    <row r="1028" spans="1:4" s="1" customFormat="1" ht="19.75" customHeight="1" x14ac:dyDescent="0.25">
      <c r="A1028" s="9">
        <f>2014</f>
        <v>2014</v>
      </c>
      <c r="B1028" s="4" t="s">
        <v>85</v>
      </c>
      <c r="C1028" s="5">
        <v>87068.632500000007</v>
      </c>
      <c r="D1028" s="13">
        <v>35725.851300000002</v>
      </c>
    </row>
    <row r="1029" spans="1:4" s="1" customFormat="1" ht="19.75" customHeight="1" x14ac:dyDescent="0.25">
      <c r="A1029" s="9">
        <f>2014</f>
        <v>2014</v>
      </c>
      <c r="B1029" s="4" t="s">
        <v>83</v>
      </c>
      <c r="C1029" s="2">
        <v>4396.4422000000004</v>
      </c>
      <c r="D1029" s="14">
        <v>1334.5397</v>
      </c>
    </row>
    <row r="1030" spans="1:4" s="1" customFormat="1" ht="19.75" customHeight="1" x14ac:dyDescent="0.25">
      <c r="A1030" s="9">
        <f>2014</f>
        <v>2014</v>
      </c>
      <c r="B1030" s="4" t="s">
        <v>82</v>
      </c>
      <c r="C1030" s="5">
        <v>7560.4861000000001</v>
      </c>
      <c r="D1030" s="13">
        <v>2019.0969</v>
      </c>
    </row>
    <row r="1031" spans="1:4" s="1" customFormat="1" ht="19.75" customHeight="1" x14ac:dyDescent="0.25">
      <c r="A1031" s="9">
        <f>2014</f>
        <v>2014</v>
      </c>
      <c r="B1031" s="4" t="s">
        <v>80</v>
      </c>
      <c r="C1031" s="2">
        <v>7323.4023999999999</v>
      </c>
      <c r="D1031" s="14">
        <v>1865.4079999999999</v>
      </c>
    </row>
    <row r="1032" spans="1:4" s="1" customFormat="1" ht="19.75" customHeight="1" x14ac:dyDescent="0.25">
      <c r="A1032" s="9">
        <f>2014</f>
        <v>2014</v>
      </c>
      <c r="B1032" s="4" t="s">
        <v>79</v>
      </c>
      <c r="C1032" s="5">
        <v>13435.3608</v>
      </c>
      <c r="D1032" s="13">
        <v>3456.6395000000002</v>
      </c>
    </row>
    <row r="1033" spans="1:4" s="1" customFormat="1" ht="19.75" customHeight="1" x14ac:dyDescent="0.25">
      <c r="A1033" s="9">
        <f>2014</f>
        <v>2014</v>
      </c>
      <c r="B1033" s="4" t="s">
        <v>78</v>
      </c>
      <c r="C1033" s="2">
        <v>10559.981100000001</v>
      </c>
      <c r="D1033" s="14">
        <v>2309.9351999999999</v>
      </c>
    </row>
    <row r="1034" spans="1:4" s="1" customFormat="1" ht="19.75" customHeight="1" x14ac:dyDescent="0.25">
      <c r="A1034" s="9">
        <f>2014</f>
        <v>2014</v>
      </c>
      <c r="B1034" s="4" t="s">
        <v>77</v>
      </c>
      <c r="C1034" s="5">
        <v>26974.3632</v>
      </c>
      <c r="D1034" s="13">
        <v>7137.0655999999999</v>
      </c>
    </row>
    <row r="1035" spans="1:4" s="1" customFormat="1" ht="19.75" customHeight="1" x14ac:dyDescent="0.25">
      <c r="A1035" s="9">
        <f>2014</f>
        <v>2014</v>
      </c>
      <c r="B1035" s="4" t="s">
        <v>76</v>
      </c>
      <c r="C1035" s="2">
        <v>27079.5694</v>
      </c>
      <c r="D1035" s="14">
        <v>6699.4679999999998</v>
      </c>
    </row>
    <row r="1036" spans="1:4" s="1" customFormat="1" ht="19.75" customHeight="1" x14ac:dyDescent="0.25">
      <c r="A1036" s="9">
        <f>2014</f>
        <v>2014</v>
      </c>
      <c r="B1036" s="4" t="s">
        <v>75</v>
      </c>
      <c r="C1036" s="5">
        <v>8447.7252000000008</v>
      </c>
      <c r="D1036" s="13">
        <v>2396.7487999999998</v>
      </c>
    </row>
    <row r="1037" spans="1:4" s="1" customFormat="1" ht="19.75" customHeight="1" x14ac:dyDescent="0.25">
      <c r="A1037" s="9">
        <f>2014</f>
        <v>2014</v>
      </c>
      <c r="B1037" s="4" t="s">
        <v>106</v>
      </c>
      <c r="C1037" s="2">
        <v>0.4279</v>
      </c>
      <c r="D1037" s="14">
        <v>25.932300000000001</v>
      </c>
    </row>
    <row r="1038" spans="1:4" s="1" customFormat="1" ht="19.75" customHeight="1" x14ac:dyDescent="0.25">
      <c r="A1038" s="9">
        <f>2014</f>
        <v>2014</v>
      </c>
      <c r="B1038" s="4" t="s">
        <v>74</v>
      </c>
      <c r="C1038" s="5">
        <v>30603.165400000002</v>
      </c>
      <c r="D1038" s="13">
        <v>6081.0102999999999</v>
      </c>
    </row>
    <row r="1039" spans="1:4" s="1" customFormat="1" ht="19.75" customHeight="1" x14ac:dyDescent="0.25">
      <c r="A1039" s="9">
        <f>2014</f>
        <v>2014</v>
      </c>
      <c r="B1039" s="4" t="s">
        <v>73</v>
      </c>
      <c r="C1039" s="2">
        <v>17933.1646</v>
      </c>
      <c r="D1039" s="14">
        <v>5178.9354000000003</v>
      </c>
    </row>
    <row r="1040" spans="1:4" s="1" customFormat="1" ht="19.75" customHeight="1" x14ac:dyDescent="0.25">
      <c r="A1040" s="9">
        <f>2014</f>
        <v>2014</v>
      </c>
      <c r="B1040" s="4" t="s">
        <v>72</v>
      </c>
      <c r="C1040" s="5">
        <v>14174.882100000001</v>
      </c>
      <c r="D1040" s="13">
        <v>2392.0075999999999</v>
      </c>
    </row>
    <row r="1041" spans="1:4" s="1" customFormat="1" ht="19.75" customHeight="1" x14ac:dyDescent="0.25">
      <c r="A1041" s="9">
        <f>2014</f>
        <v>2014</v>
      </c>
      <c r="B1041" s="4" t="s">
        <v>71</v>
      </c>
      <c r="C1041" s="2">
        <v>7473.3950999999997</v>
      </c>
      <c r="D1041" s="14">
        <v>1647.7819999999999</v>
      </c>
    </row>
    <row r="1042" spans="1:4" s="1" customFormat="1" ht="19.75" customHeight="1" x14ac:dyDescent="0.25">
      <c r="A1042" s="9">
        <f>2014</f>
        <v>2014</v>
      </c>
      <c r="B1042" s="4" t="s">
        <v>92</v>
      </c>
      <c r="C1042" s="5">
        <v>20576.038100000002</v>
      </c>
      <c r="D1042" s="13">
        <v>3318.8368</v>
      </c>
    </row>
    <row r="1043" spans="1:4" s="1" customFormat="1" ht="19.75" customHeight="1" x14ac:dyDescent="0.25">
      <c r="A1043" s="9">
        <f>2014</f>
        <v>2014</v>
      </c>
      <c r="B1043" s="4" t="s">
        <v>69</v>
      </c>
      <c r="C1043" s="2">
        <v>10888.786599999999</v>
      </c>
      <c r="D1043" s="14">
        <v>2831.5025999999998</v>
      </c>
    </row>
    <row r="1044" spans="1:4" s="1" customFormat="1" ht="19.75" customHeight="1" x14ac:dyDescent="0.25">
      <c r="A1044" s="9">
        <f>2014</f>
        <v>2014</v>
      </c>
      <c r="B1044" s="4" t="s">
        <v>68</v>
      </c>
      <c r="C1044" s="5">
        <v>17106.915300000001</v>
      </c>
      <c r="D1044" s="13">
        <v>3748.9180999999999</v>
      </c>
    </row>
    <row r="1045" spans="1:4" s="1" customFormat="1" ht="19.75" customHeight="1" x14ac:dyDescent="0.25">
      <c r="A1045" s="9">
        <f>2014</f>
        <v>2014</v>
      </c>
      <c r="B1045" s="4" t="s">
        <v>67</v>
      </c>
      <c r="C1045" s="2">
        <v>13890.376899999999</v>
      </c>
      <c r="D1045" s="14">
        <v>2916.8833</v>
      </c>
    </row>
    <row r="1046" spans="1:4" s="1" customFormat="1" ht="19.75" customHeight="1" x14ac:dyDescent="0.25">
      <c r="A1046" s="9">
        <f>2014</f>
        <v>2014</v>
      </c>
      <c r="B1046" s="4" t="s">
        <v>66</v>
      </c>
      <c r="C1046" s="5">
        <v>6352.1242000000002</v>
      </c>
      <c r="D1046" s="13">
        <v>1247.3212000000001</v>
      </c>
    </row>
    <row r="1047" spans="1:4" s="1" customFormat="1" ht="19.75" customHeight="1" x14ac:dyDescent="0.25">
      <c r="A1047" s="9">
        <f>2014</f>
        <v>2014</v>
      </c>
      <c r="B1047" s="4" t="s">
        <v>65</v>
      </c>
      <c r="C1047" s="2">
        <v>27077.280699999999</v>
      </c>
      <c r="D1047" s="14">
        <v>9338.2312999999995</v>
      </c>
    </row>
    <row r="1048" spans="1:4" s="1" customFormat="1" ht="19.75" customHeight="1" x14ac:dyDescent="0.25">
      <c r="A1048" s="9">
        <f>2014</f>
        <v>2014</v>
      </c>
      <c r="B1048" s="4" t="s">
        <v>64</v>
      </c>
      <c r="C1048" s="5">
        <v>13080.504800000001</v>
      </c>
      <c r="D1048" s="13">
        <v>3301.7509</v>
      </c>
    </row>
    <row r="1049" spans="1:4" s="1" customFormat="1" ht="19.75" customHeight="1" x14ac:dyDescent="0.25">
      <c r="A1049" s="9">
        <f>2014</f>
        <v>2014</v>
      </c>
      <c r="B1049" s="4" t="s">
        <v>63</v>
      </c>
      <c r="C1049" s="2">
        <v>12170.827499999999</v>
      </c>
      <c r="D1049" s="14">
        <v>2439.1983</v>
      </c>
    </row>
    <row r="1050" spans="1:4" s="1" customFormat="1" ht="19.75" customHeight="1" x14ac:dyDescent="0.25">
      <c r="A1050" s="9">
        <f>2014</f>
        <v>2014</v>
      </c>
      <c r="B1050" s="4" t="s">
        <v>62</v>
      </c>
      <c r="C1050" s="5">
        <v>21470.069100000001</v>
      </c>
      <c r="D1050" s="13">
        <v>5482.7605000000003</v>
      </c>
    </row>
    <row r="1051" spans="1:4" s="1" customFormat="1" ht="19.75" customHeight="1" x14ac:dyDescent="0.25">
      <c r="A1051" s="9">
        <f>2014</f>
        <v>2014</v>
      </c>
      <c r="B1051" s="4" t="s">
        <v>61</v>
      </c>
      <c r="C1051" s="2">
        <v>8036.4712</v>
      </c>
      <c r="D1051" s="14">
        <v>1707.9460999999999</v>
      </c>
    </row>
    <row r="1052" spans="1:4" s="1" customFormat="1" ht="19.75" customHeight="1" x14ac:dyDescent="0.25">
      <c r="A1052" s="9">
        <f>2014</f>
        <v>2014</v>
      </c>
      <c r="B1052" s="4" t="s">
        <v>60</v>
      </c>
      <c r="C1052" s="5">
        <v>8623.1476000000002</v>
      </c>
      <c r="D1052" s="13">
        <v>1689.5533</v>
      </c>
    </row>
    <row r="1053" spans="1:4" s="1" customFormat="1" ht="19.75" customHeight="1" x14ac:dyDescent="0.25">
      <c r="A1053" s="9">
        <f>2014</f>
        <v>2014</v>
      </c>
      <c r="B1053" s="4" t="s">
        <v>59</v>
      </c>
      <c r="C1053" s="2">
        <v>18689.522000000001</v>
      </c>
      <c r="D1053" s="14">
        <v>7900.7739000000001</v>
      </c>
    </row>
    <row r="1054" spans="1:4" s="1" customFormat="1" ht="19.75" customHeight="1" x14ac:dyDescent="0.25">
      <c r="A1054" s="9">
        <f>2014</f>
        <v>2014</v>
      </c>
      <c r="B1054" s="4" t="s">
        <v>54</v>
      </c>
      <c r="C1054" s="5">
        <v>1786.5435</v>
      </c>
      <c r="D1054" s="13">
        <v>458.27019999999999</v>
      </c>
    </row>
    <row r="1055" spans="1:4" s="1" customFormat="1" ht="19.75" customHeight="1" x14ac:dyDescent="0.25">
      <c r="A1055" s="9">
        <f>2014</f>
        <v>2014</v>
      </c>
      <c r="B1055" s="4" t="s">
        <v>53</v>
      </c>
      <c r="C1055" s="2">
        <v>1124.7734</v>
      </c>
      <c r="D1055" s="14">
        <v>401.19830000000002</v>
      </c>
    </row>
    <row r="1056" spans="1:4" s="1" customFormat="1" ht="19.75" customHeight="1" x14ac:dyDescent="0.25">
      <c r="A1056" s="9">
        <f>2014</f>
        <v>2014</v>
      </c>
      <c r="B1056" s="4" t="s">
        <v>52</v>
      </c>
      <c r="C1056" s="5">
        <v>759.86959999999999</v>
      </c>
      <c r="D1056" s="13">
        <v>319.08730000000003</v>
      </c>
    </row>
    <row r="1057" spans="1:4" s="1" customFormat="1" ht="19.75" customHeight="1" x14ac:dyDescent="0.25">
      <c r="A1057" s="9">
        <f>2014</f>
        <v>2014</v>
      </c>
      <c r="B1057" s="4" t="s">
        <v>51</v>
      </c>
      <c r="C1057" s="2">
        <v>1011.827</v>
      </c>
      <c r="D1057" s="14">
        <v>347.48849999999999</v>
      </c>
    </row>
    <row r="1058" spans="1:4" s="1" customFormat="1" ht="19.75" customHeight="1" x14ac:dyDescent="0.25">
      <c r="A1058" s="9">
        <f>2014</f>
        <v>2014</v>
      </c>
      <c r="B1058" s="4" t="s">
        <v>50</v>
      </c>
      <c r="C1058" s="5">
        <v>4717.4660000000003</v>
      </c>
      <c r="D1058" s="13">
        <v>1442.0708</v>
      </c>
    </row>
    <row r="1059" spans="1:4" s="1" customFormat="1" ht="19.75" customHeight="1" x14ac:dyDescent="0.25">
      <c r="A1059" s="9">
        <f>2014</f>
        <v>2014</v>
      </c>
      <c r="B1059" s="4" t="s">
        <v>48</v>
      </c>
      <c r="C1059" s="2">
        <v>22652.8999</v>
      </c>
      <c r="D1059" s="14">
        <v>12042.1981</v>
      </c>
    </row>
    <row r="1060" spans="1:4" s="1" customFormat="1" ht="19.75" customHeight="1" x14ac:dyDescent="0.25">
      <c r="A1060" s="9">
        <f>2014</f>
        <v>2014</v>
      </c>
      <c r="B1060" s="4" t="s">
        <v>47</v>
      </c>
      <c r="C1060" s="5">
        <v>27702.588599999999</v>
      </c>
      <c r="D1060" s="13">
        <v>10308.8614</v>
      </c>
    </row>
    <row r="1061" spans="1:4" s="1" customFormat="1" ht="19.75" customHeight="1" x14ac:dyDescent="0.25">
      <c r="A1061" s="9">
        <f>2014</f>
        <v>2014</v>
      </c>
      <c r="B1061" s="4" t="s">
        <v>46</v>
      </c>
      <c r="C1061" s="2">
        <v>5362.8212999999996</v>
      </c>
      <c r="D1061" s="14">
        <v>2185.2828</v>
      </c>
    </row>
    <row r="1062" spans="1:4" s="1" customFormat="1" ht="19.75" customHeight="1" x14ac:dyDescent="0.25">
      <c r="A1062" s="9">
        <f>2014</f>
        <v>2014</v>
      </c>
      <c r="B1062" s="4" t="s">
        <v>45</v>
      </c>
      <c r="C1062" s="5">
        <v>3452.0659999999998</v>
      </c>
      <c r="D1062" s="13">
        <v>1492.7336</v>
      </c>
    </row>
    <row r="1063" spans="1:4" s="1" customFormat="1" ht="19.75" customHeight="1" x14ac:dyDescent="0.25">
      <c r="A1063" s="9">
        <f>2014</f>
        <v>2014</v>
      </c>
      <c r="B1063" s="4" t="s">
        <v>44</v>
      </c>
      <c r="C1063" s="2">
        <v>4082.5162</v>
      </c>
      <c r="D1063" s="14">
        <v>1174.9926</v>
      </c>
    </row>
    <row r="1064" spans="1:4" s="1" customFormat="1" ht="19.75" customHeight="1" x14ac:dyDescent="0.25">
      <c r="A1064" s="9">
        <f>2014</f>
        <v>2014</v>
      </c>
      <c r="B1064" s="4" t="s">
        <v>43</v>
      </c>
      <c r="C1064" s="5">
        <v>3132.761</v>
      </c>
      <c r="D1064" s="13">
        <v>874.601</v>
      </c>
    </row>
    <row r="1065" spans="1:4" s="1" customFormat="1" ht="19.75" customHeight="1" x14ac:dyDescent="0.25">
      <c r="A1065" s="9">
        <f>2014</f>
        <v>2014</v>
      </c>
      <c r="B1065" s="4" t="s">
        <v>42</v>
      </c>
      <c r="C1065" s="2">
        <v>3832.2568000000001</v>
      </c>
      <c r="D1065" s="14">
        <v>1010.3616</v>
      </c>
    </row>
    <row r="1066" spans="1:4" s="1" customFormat="1" ht="19.75" customHeight="1" x14ac:dyDescent="0.25">
      <c r="A1066" s="9">
        <f>2014</f>
        <v>2014</v>
      </c>
      <c r="B1066" s="4" t="s">
        <v>41</v>
      </c>
      <c r="C1066" s="5">
        <v>5047.0664999999999</v>
      </c>
      <c r="D1066" s="13">
        <v>2542.6071999999999</v>
      </c>
    </row>
    <row r="1067" spans="1:4" s="1" customFormat="1" ht="19.75" customHeight="1" x14ac:dyDescent="0.25">
      <c r="A1067" s="9">
        <f>2014</f>
        <v>2014</v>
      </c>
      <c r="B1067" s="4" t="s">
        <v>40</v>
      </c>
      <c r="C1067" s="2">
        <v>1497.9395</v>
      </c>
      <c r="D1067" s="14">
        <v>380.60559999999998</v>
      </c>
    </row>
    <row r="1068" spans="1:4" s="1" customFormat="1" ht="19.75" customHeight="1" x14ac:dyDescent="0.25">
      <c r="A1068" s="9">
        <f>2014</f>
        <v>2014</v>
      </c>
      <c r="B1068" s="4" t="s">
        <v>38</v>
      </c>
      <c r="C1068" s="5">
        <v>268.72340000000003</v>
      </c>
      <c r="D1068" s="13">
        <v>92.949600000000004</v>
      </c>
    </row>
    <row r="1069" spans="1:4" s="1" customFormat="1" ht="19.75" customHeight="1" x14ac:dyDescent="0.25">
      <c r="A1069" s="9">
        <f>2014</f>
        <v>2014</v>
      </c>
      <c r="B1069" s="4" t="s">
        <v>37</v>
      </c>
      <c r="C1069" s="2">
        <v>1009.9892</v>
      </c>
      <c r="D1069" s="14">
        <v>423.90320000000003</v>
      </c>
    </row>
    <row r="1070" spans="1:4" s="1" customFormat="1" ht="19.75" customHeight="1" x14ac:dyDescent="0.25">
      <c r="A1070" s="9">
        <f>2014</f>
        <v>2014</v>
      </c>
      <c r="B1070" s="4" t="s">
        <v>34</v>
      </c>
      <c r="C1070" s="5">
        <v>3616.2948000000001</v>
      </c>
      <c r="D1070" s="13">
        <v>882.8913</v>
      </c>
    </row>
    <row r="1071" spans="1:4" s="1" customFormat="1" ht="19.75" customHeight="1" x14ac:dyDescent="0.25">
      <c r="A1071" s="9">
        <f>2014</f>
        <v>2014</v>
      </c>
      <c r="B1071" s="4" t="s">
        <v>33</v>
      </c>
      <c r="C1071" s="2">
        <v>1820.4817</v>
      </c>
      <c r="D1071" s="14">
        <v>489.26260000000002</v>
      </c>
    </row>
    <row r="1072" spans="1:4" s="1" customFormat="1" ht="19.75" customHeight="1" x14ac:dyDescent="0.25">
      <c r="A1072" s="9">
        <f>2014</f>
        <v>2014</v>
      </c>
      <c r="B1072" s="4" t="s">
        <v>31</v>
      </c>
      <c r="C1072" s="5">
        <v>7265.0918000000001</v>
      </c>
      <c r="D1072" s="13">
        <v>1749.8719000000001</v>
      </c>
    </row>
    <row r="1073" spans="1:4" s="1" customFormat="1" ht="19.75" customHeight="1" x14ac:dyDescent="0.25">
      <c r="A1073" s="9">
        <f>2014</f>
        <v>2014</v>
      </c>
      <c r="B1073" s="4" t="s">
        <v>30</v>
      </c>
      <c r="C1073" s="2">
        <v>1.6528</v>
      </c>
      <c r="D1073" s="14">
        <v>16.651900000000001</v>
      </c>
    </row>
    <row r="1074" spans="1:4" s="1" customFormat="1" ht="19.75" customHeight="1" x14ac:dyDescent="0.25">
      <c r="A1074" s="9">
        <f>2014</f>
        <v>2014</v>
      </c>
      <c r="B1074" s="4" t="s">
        <v>29</v>
      </c>
      <c r="C1074" s="5">
        <v>102.2924</v>
      </c>
      <c r="D1074" s="13">
        <v>24.5611</v>
      </c>
    </row>
    <row r="1075" spans="1:4" s="1" customFormat="1" ht="19.75" customHeight="1" x14ac:dyDescent="0.25">
      <c r="A1075" s="9">
        <f>2014</f>
        <v>2014</v>
      </c>
      <c r="B1075" s="4" t="s">
        <v>91</v>
      </c>
      <c r="C1075" s="2">
        <v>126.06780000000001</v>
      </c>
      <c r="D1075" s="14">
        <v>638.91089999999997</v>
      </c>
    </row>
    <row r="1076" spans="1:4" s="1" customFormat="1" ht="19.75" customHeight="1" x14ac:dyDescent="0.25">
      <c r="A1076" s="9">
        <f>2014</f>
        <v>2014</v>
      </c>
      <c r="B1076" s="4" t="s">
        <v>103</v>
      </c>
      <c r="C1076" s="5">
        <v>137.53319999999999</v>
      </c>
      <c r="D1076" s="13">
        <v>133.76759999999999</v>
      </c>
    </row>
    <row r="1077" spans="1:4" s="1" customFormat="1" ht="19.75" customHeight="1" x14ac:dyDescent="0.25">
      <c r="A1077" s="9">
        <f>2014</f>
        <v>2014</v>
      </c>
      <c r="B1077" s="4" t="s">
        <v>27</v>
      </c>
      <c r="C1077" s="2">
        <v>598.78160000000003</v>
      </c>
      <c r="D1077" s="14">
        <v>554.91679999999997</v>
      </c>
    </row>
    <row r="1078" spans="1:4" s="1" customFormat="1" ht="19.75" customHeight="1" x14ac:dyDescent="0.25">
      <c r="A1078" s="9">
        <f>2014</f>
        <v>2014</v>
      </c>
      <c r="B1078" s="4" t="s">
        <v>26</v>
      </c>
      <c r="C1078" s="5">
        <v>47.959000000000003</v>
      </c>
      <c r="D1078" s="13">
        <v>22.086500000000001</v>
      </c>
    </row>
    <row r="1079" spans="1:4" s="1" customFormat="1" ht="19.75" customHeight="1" x14ac:dyDescent="0.25">
      <c r="A1079" s="9">
        <f>2014</f>
        <v>2014</v>
      </c>
      <c r="B1079" s="4" t="s">
        <v>25</v>
      </c>
      <c r="C1079" s="2">
        <v>6.1772</v>
      </c>
      <c r="D1079" s="14">
        <v>6.4755000000000003</v>
      </c>
    </row>
    <row r="1080" spans="1:4" s="1" customFormat="1" ht="19.75" customHeight="1" x14ac:dyDescent="0.25">
      <c r="A1080" s="9">
        <f>2014</f>
        <v>2014</v>
      </c>
      <c r="B1080" s="4" t="s">
        <v>24</v>
      </c>
      <c r="C1080" s="5">
        <v>467.67869999999999</v>
      </c>
      <c r="D1080" s="13">
        <v>103.879</v>
      </c>
    </row>
    <row r="1081" spans="1:4" s="1" customFormat="1" ht="19.75" customHeight="1" x14ac:dyDescent="0.25">
      <c r="A1081" s="9">
        <f>2014</f>
        <v>2014</v>
      </c>
      <c r="B1081" s="4" t="s">
        <v>23</v>
      </c>
      <c r="C1081" s="2">
        <v>817.75329999999997</v>
      </c>
      <c r="D1081" s="14">
        <v>509.67649999999998</v>
      </c>
    </row>
    <row r="1082" spans="1:4" s="1" customFormat="1" ht="19.75" customHeight="1" x14ac:dyDescent="0.25">
      <c r="A1082" s="9">
        <f>2014</f>
        <v>2014</v>
      </c>
      <c r="B1082" s="4" t="s">
        <v>22</v>
      </c>
      <c r="C1082" s="5">
        <v>696.69460000000004</v>
      </c>
      <c r="D1082" s="13">
        <v>407.11099999999999</v>
      </c>
    </row>
    <row r="1083" spans="1:4" s="1" customFormat="1" ht="19.75" customHeight="1" x14ac:dyDescent="0.25">
      <c r="A1083" s="9">
        <f>2014</f>
        <v>2014</v>
      </c>
      <c r="B1083" s="4" t="s">
        <v>21</v>
      </c>
      <c r="C1083" s="2">
        <v>3738.26</v>
      </c>
      <c r="D1083" s="14">
        <v>2856.49</v>
      </c>
    </row>
    <row r="1084" spans="1:4" s="1" customFormat="1" ht="19.75" customHeight="1" x14ac:dyDescent="0.25">
      <c r="A1084" s="9">
        <f>2014</f>
        <v>2014</v>
      </c>
      <c r="B1084" s="4" t="s">
        <v>96</v>
      </c>
      <c r="C1084" s="5">
        <v>6.3103999999999996</v>
      </c>
      <c r="D1084" s="13">
        <v>26.877099999999999</v>
      </c>
    </row>
    <row r="1085" spans="1:4" s="1" customFormat="1" ht="19.75" customHeight="1" x14ac:dyDescent="0.25">
      <c r="A1085" s="9">
        <f>2014</f>
        <v>2014</v>
      </c>
      <c r="B1085" s="4" t="s">
        <v>102</v>
      </c>
      <c r="C1085" s="2">
        <v>21.606200000000001</v>
      </c>
      <c r="D1085" s="14">
        <v>66.188299999999998</v>
      </c>
    </row>
    <row r="1086" spans="1:4" s="1" customFormat="1" ht="19.75" customHeight="1" x14ac:dyDescent="0.25">
      <c r="A1086" s="9">
        <f>2014</f>
        <v>2014</v>
      </c>
      <c r="B1086" s="4" t="s">
        <v>20</v>
      </c>
      <c r="C1086" s="5">
        <v>184.21010000000001</v>
      </c>
      <c r="D1086" s="13">
        <v>94.518199999999993</v>
      </c>
    </row>
    <row r="1087" spans="1:4" s="1" customFormat="1" ht="19.75" customHeight="1" x14ac:dyDescent="0.25">
      <c r="A1087" s="9">
        <f>2014</f>
        <v>2014</v>
      </c>
      <c r="B1087" s="4" t="s">
        <v>101</v>
      </c>
      <c r="C1087" s="2">
        <v>196.16409999999999</v>
      </c>
      <c r="D1087" s="14">
        <v>68.974699999999999</v>
      </c>
    </row>
    <row r="1088" spans="1:4" s="1" customFormat="1" ht="19.75" customHeight="1" x14ac:dyDescent="0.25">
      <c r="A1088" s="9">
        <f>2014</f>
        <v>2014</v>
      </c>
      <c r="B1088" s="4" t="s">
        <v>19</v>
      </c>
      <c r="C1088" s="5">
        <v>12.988799999999999</v>
      </c>
      <c r="D1088" s="13">
        <v>21.95</v>
      </c>
    </row>
    <row r="1089" spans="1:4" s="1" customFormat="1" ht="19.75" customHeight="1" x14ac:dyDescent="0.25">
      <c r="A1089" s="9">
        <f>2014</f>
        <v>2014</v>
      </c>
      <c r="B1089" s="4" t="s">
        <v>18</v>
      </c>
      <c r="C1089" s="2">
        <v>1771.7043000000001</v>
      </c>
      <c r="D1089" s="14">
        <v>507.54840000000002</v>
      </c>
    </row>
    <row r="1090" spans="1:4" s="1" customFormat="1" ht="19.75" customHeight="1" x14ac:dyDescent="0.25">
      <c r="A1090" s="9">
        <f>2014</f>
        <v>2014</v>
      </c>
      <c r="B1090" s="4" t="s">
        <v>17</v>
      </c>
      <c r="C1090" s="5">
        <v>1321.7139999999999</v>
      </c>
      <c r="D1090" s="13">
        <v>1269.0456999999999</v>
      </c>
    </row>
    <row r="1091" spans="1:4" s="1" customFormat="1" ht="19.75" customHeight="1" x14ac:dyDescent="0.25">
      <c r="A1091" s="9">
        <f>2014</f>
        <v>2014</v>
      </c>
      <c r="B1091" s="4" t="s">
        <v>94</v>
      </c>
      <c r="C1091" s="2">
        <v>47.991199999999999</v>
      </c>
      <c r="D1091" s="14">
        <v>132.3921</v>
      </c>
    </row>
    <row r="1092" spans="1:4" s="1" customFormat="1" ht="19.75" customHeight="1" x14ac:dyDescent="0.25">
      <c r="A1092" s="9">
        <f>2014</f>
        <v>2014</v>
      </c>
      <c r="B1092" s="4" t="s">
        <v>16</v>
      </c>
      <c r="C1092" s="5">
        <v>3615.2039</v>
      </c>
      <c r="D1092" s="13">
        <v>2637.6671000000001</v>
      </c>
    </row>
    <row r="1093" spans="1:4" s="1" customFormat="1" ht="19.75" customHeight="1" x14ac:dyDescent="0.25">
      <c r="A1093" s="9">
        <f>2014</f>
        <v>2014</v>
      </c>
      <c r="B1093" s="4" t="s">
        <v>15</v>
      </c>
      <c r="C1093" s="2">
        <v>8.9059000000000008</v>
      </c>
      <c r="D1093" s="14">
        <v>10.191800000000001</v>
      </c>
    </row>
    <row r="1094" spans="1:4" s="1" customFormat="1" ht="19.75" customHeight="1" x14ac:dyDescent="0.25">
      <c r="A1094" s="9">
        <f>2014</f>
        <v>2014</v>
      </c>
      <c r="B1094" s="4" t="s">
        <v>100</v>
      </c>
      <c r="C1094" s="5">
        <v>20.955300000000001</v>
      </c>
      <c r="D1094" s="13">
        <v>27.1389</v>
      </c>
    </row>
    <row r="1095" spans="1:4" s="1" customFormat="1" ht="19.75" customHeight="1" x14ac:dyDescent="0.25">
      <c r="A1095" s="9">
        <f>2014</f>
        <v>2014</v>
      </c>
      <c r="B1095" s="4" t="s">
        <v>13</v>
      </c>
      <c r="C1095" s="2">
        <v>809.58389999999997</v>
      </c>
      <c r="D1095" s="14">
        <v>222.45060000000001</v>
      </c>
    </row>
    <row r="1096" spans="1:4" s="1" customFormat="1" ht="19.75" customHeight="1" x14ac:dyDescent="0.25">
      <c r="A1096" s="9">
        <f>2014</f>
        <v>2014</v>
      </c>
      <c r="B1096" s="4" t="s">
        <v>90</v>
      </c>
      <c r="C1096" s="5">
        <v>0.29709999999999998</v>
      </c>
      <c r="D1096" s="13">
        <v>12.0869</v>
      </c>
    </row>
    <row r="1097" spans="1:4" s="1" customFormat="1" ht="19.75" customHeight="1" x14ac:dyDescent="0.25">
      <c r="A1097" s="9">
        <f>2014</f>
        <v>2014</v>
      </c>
      <c r="B1097" s="4" t="s">
        <v>88</v>
      </c>
      <c r="C1097" s="2">
        <v>18.6966</v>
      </c>
      <c r="D1097" s="14">
        <v>19.255099999999999</v>
      </c>
    </row>
    <row r="1098" spans="1:4" s="1" customFormat="1" ht="19.75" customHeight="1" x14ac:dyDescent="0.25">
      <c r="A1098" s="9">
        <f>2014</f>
        <v>2014</v>
      </c>
      <c r="B1098" s="4" t="s">
        <v>11</v>
      </c>
      <c r="C1098" s="5">
        <v>8.4985999999999997</v>
      </c>
      <c r="D1098" s="13">
        <v>3.7368000000000001</v>
      </c>
    </row>
    <row r="1099" spans="1:4" s="1" customFormat="1" ht="19.75" customHeight="1" x14ac:dyDescent="0.25">
      <c r="A1099" s="9">
        <f>2014</f>
        <v>2014</v>
      </c>
      <c r="B1099" s="4" t="s">
        <v>10</v>
      </c>
      <c r="C1099" s="2">
        <v>0.45440000000000003</v>
      </c>
      <c r="D1099" s="14">
        <v>15.530900000000001</v>
      </c>
    </row>
    <row r="1100" spans="1:4" s="1" customFormat="1" ht="19.75" customHeight="1" x14ac:dyDescent="0.25">
      <c r="A1100" s="9">
        <f>2014</f>
        <v>2014</v>
      </c>
      <c r="B1100" s="4" t="s">
        <v>9</v>
      </c>
      <c r="C1100" s="5">
        <v>114.3026</v>
      </c>
      <c r="D1100" s="13">
        <v>131.69659999999999</v>
      </c>
    </row>
    <row r="1101" spans="1:4" s="1" customFormat="1" ht="19.75" customHeight="1" x14ac:dyDescent="0.25">
      <c r="A1101" s="9">
        <f>2014</f>
        <v>2014</v>
      </c>
      <c r="B1101" s="4" t="s">
        <v>8</v>
      </c>
      <c r="C1101" s="2">
        <v>406.62830000000002</v>
      </c>
      <c r="D1101" s="14">
        <v>180.78919999999999</v>
      </c>
    </row>
    <row r="1102" spans="1:4" s="1" customFormat="1" ht="19.75" customHeight="1" x14ac:dyDescent="0.25">
      <c r="A1102" s="9">
        <f>2014</f>
        <v>2014</v>
      </c>
      <c r="B1102" s="4" t="s">
        <v>99</v>
      </c>
      <c r="C1102" s="5">
        <v>0.52139999999999997</v>
      </c>
      <c r="D1102" s="13">
        <v>36.885199999999998</v>
      </c>
    </row>
    <row r="1103" spans="1:4" s="1" customFormat="1" ht="19.75" customHeight="1" x14ac:dyDescent="0.25">
      <c r="A1103" s="9">
        <f>2014</f>
        <v>2014</v>
      </c>
      <c r="B1103" s="4" t="s">
        <v>7</v>
      </c>
      <c r="C1103" s="2">
        <v>1.9601999999999999</v>
      </c>
      <c r="D1103" s="14">
        <v>15.3582</v>
      </c>
    </row>
    <row r="1104" spans="1:4" s="1" customFormat="1" ht="19.75" customHeight="1" x14ac:dyDescent="0.25">
      <c r="A1104" s="9">
        <f>2014</f>
        <v>2014</v>
      </c>
      <c r="B1104" s="4" t="s">
        <v>98</v>
      </c>
      <c r="C1104" s="5">
        <v>5.2594000000000003</v>
      </c>
      <c r="D1104" s="13">
        <v>16.892499999999998</v>
      </c>
    </row>
    <row r="1105" spans="1:4" s="1" customFormat="1" ht="19.75" customHeight="1" x14ac:dyDescent="0.25">
      <c r="A1105" s="9">
        <f>2014</f>
        <v>2014</v>
      </c>
      <c r="B1105" s="4" t="s">
        <v>6</v>
      </c>
      <c r="C1105" s="2">
        <v>93.605500000000006</v>
      </c>
      <c r="D1105" s="14">
        <v>16.778500000000001</v>
      </c>
    </row>
    <row r="1106" spans="1:4" s="1" customFormat="1" ht="19.75" customHeight="1" x14ac:dyDescent="0.25">
      <c r="A1106" s="9">
        <f>2014</f>
        <v>2014</v>
      </c>
      <c r="B1106" s="4" t="s">
        <v>5</v>
      </c>
      <c r="C1106" s="5">
        <v>158.00810000000001</v>
      </c>
      <c r="D1106" s="13">
        <v>38.003999999999998</v>
      </c>
    </row>
    <row r="1107" spans="1:4" s="1" customFormat="1" ht="19.75" customHeight="1" x14ac:dyDescent="0.25">
      <c r="A1107" s="9">
        <f>2014</f>
        <v>2014</v>
      </c>
      <c r="B1107" s="4" t="s">
        <v>4</v>
      </c>
      <c r="C1107" s="2">
        <v>146.47</v>
      </c>
      <c r="D1107" s="14">
        <v>104.43040000000001</v>
      </c>
    </row>
    <row r="1108" spans="1:4" s="1" customFormat="1" ht="19.75" customHeight="1" x14ac:dyDescent="0.25">
      <c r="A1108" s="9">
        <f>2014</f>
        <v>2014</v>
      </c>
      <c r="B1108" s="4" t="s">
        <v>3</v>
      </c>
      <c r="C1108" s="5">
        <v>1.3304</v>
      </c>
      <c r="D1108" s="13">
        <v>5.4345999999999997</v>
      </c>
    </row>
    <row r="1109" spans="1:4" s="1" customFormat="1" ht="19.75" customHeight="1" x14ac:dyDescent="0.25">
      <c r="A1109" s="9">
        <f>2014</f>
        <v>2014</v>
      </c>
      <c r="B1109" s="4" t="s">
        <v>2</v>
      </c>
      <c r="C1109" s="2">
        <v>4592.5232999999998</v>
      </c>
      <c r="D1109" s="14">
        <v>3205.0639000000001</v>
      </c>
    </row>
    <row r="1110" spans="1:4" s="1" customFormat="1" ht="19.75" customHeight="1" x14ac:dyDescent="0.25">
      <c r="A1110" s="9">
        <f>2014</f>
        <v>2014</v>
      </c>
      <c r="B1110" s="4" t="s">
        <v>105</v>
      </c>
      <c r="C1110" s="5">
        <v>11.8536</v>
      </c>
      <c r="D1110" s="13">
        <v>72.066900000000004</v>
      </c>
    </row>
    <row r="1111" spans="1:4" s="1" customFormat="1" ht="19.75" customHeight="1" x14ac:dyDescent="0.25">
      <c r="A1111" s="9">
        <f>2014</f>
        <v>2014</v>
      </c>
      <c r="B1111" s="4" t="s">
        <v>93</v>
      </c>
      <c r="C1111" s="2">
        <v>785.27329999999995</v>
      </c>
      <c r="D1111" s="14">
        <v>931.80050000000006</v>
      </c>
    </row>
    <row r="1112" spans="1:4" s="1" customFormat="1" ht="19.75" customHeight="1" x14ac:dyDescent="0.25">
      <c r="A1112" s="9">
        <f>2014</f>
        <v>2014</v>
      </c>
      <c r="B1112" s="4" t="s">
        <v>89</v>
      </c>
      <c r="C1112" s="5">
        <v>39.416499999999999</v>
      </c>
      <c r="D1112" s="13">
        <v>98.736900000000006</v>
      </c>
    </row>
    <row r="1113" spans="1:4" s="1" customFormat="1" ht="19.75" customHeight="1" x14ac:dyDescent="0.25">
      <c r="A1113" s="9">
        <f>2014</f>
        <v>2014</v>
      </c>
      <c r="B1113" s="4" t="s">
        <v>95</v>
      </c>
      <c r="C1113" s="2">
        <v>6.2526999999999999</v>
      </c>
      <c r="D1113" s="14">
        <v>15.971299999999999</v>
      </c>
    </row>
    <row r="1114" spans="1:4" s="1" customFormat="1" ht="19.75" customHeight="1" x14ac:dyDescent="0.25">
      <c r="A1114" s="9">
        <f>2014</f>
        <v>2014</v>
      </c>
      <c r="B1114" s="4" t="s">
        <v>104</v>
      </c>
      <c r="C1114" s="5">
        <v>23.202999999999999</v>
      </c>
      <c r="D1114" s="13">
        <v>36.872500000000002</v>
      </c>
    </row>
    <row r="1115" spans="1:4" s="1" customFormat="1" ht="19.75" customHeight="1" x14ac:dyDescent="0.25">
      <c r="A1115" s="9">
        <f>2014</f>
        <v>2014</v>
      </c>
      <c r="B1115" s="4" t="s">
        <v>97</v>
      </c>
      <c r="C1115" s="2">
        <v>19.4299</v>
      </c>
      <c r="D1115" s="14">
        <v>12.5154</v>
      </c>
    </row>
    <row r="1116" spans="1:4" s="1" customFormat="1" ht="19.75" customHeight="1" x14ac:dyDescent="0.25">
      <c r="A1116" s="9">
        <f>2013</f>
        <v>2013</v>
      </c>
      <c r="B1116" s="4" t="s">
        <v>87</v>
      </c>
      <c r="C1116" s="5">
        <v>4932.3744999999999</v>
      </c>
      <c r="D1116" s="13">
        <v>1579.2264</v>
      </c>
    </row>
    <row r="1117" spans="1:4" s="1" customFormat="1" ht="19.75" customHeight="1" x14ac:dyDescent="0.25">
      <c r="A1117" s="9">
        <f>2013</f>
        <v>2013</v>
      </c>
      <c r="B1117" s="4" t="s">
        <v>86</v>
      </c>
      <c r="C1117" s="2">
        <v>8529.9015999999992</v>
      </c>
      <c r="D1117" s="14">
        <v>2105.0664999999999</v>
      </c>
    </row>
    <row r="1118" spans="1:4" s="1" customFormat="1" ht="19.75" customHeight="1" x14ac:dyDescent="0.25">
      <c r="A1118" s="9">
        <f>2013</f>
        <v>2013</v>
      </c>
      <c r="B1118" s="4" t="s">
        <v>85</v>
      </c>
      <c r="C1118" s="5">
        <v>75325.796499999997</v>
      </c>
      <c r="D1118" s="13">
        <v>29284.422299999998</v>
      </c>
    </row>
    <row r="1119" spans="1:4" s="1" customFormat="1" ht="19.75" customHeight="1" x14ac:dyDescent="0.25">
      <c r="A1119" s="9">
        <f>2013</f>
        <v>2013</v>
      </c>
      <c r="B1119" s="4" t="s">
        <v>83</v>
      </c>
      <c r="C1119" s="2">
        <v>4125.2793000000001</v>
      </c>
      <c r="D1119" s="14">
        <v>1104.7637</v>
      </c>
    </row>
    <row r="1120" spans="1:4" s="1" customFormat="1" ht="19.75" customHeight="1" x14ac:dyDescent="0.25">
      <c r="A1120" s="9">
        <f>2013</f>
        <v>2013</v>
      </c>
      <c r="B1120" s="4" t="s">
        <v>82</v>
      </c>
      <c r="C1120" s="5">
        <v>7113.4267</v>
      </c>
      <c r="D1120" s="13">
        <v>1667.8512000000001</v>
      </c>
    </row>
    <row r="1121" spans="1:4" s="1" customFormat="1" ht="19.75" customHeight="1" x14ac:dyDescent="0.25">
      <c r="A1121" s="9">
        <f>2013</f>
        <v>2013</v>
      </c>
      <c r="B1121" s="4" t="s">
        <v>80</v>
      </c>
      <c r="C1121" s="2">
        <v>6506.6363000000001</v>
      </c>
      <c r="D1121" s="14">
        <v>1430.2167999999999</v>
      </c>
    </row>
    <row r="1122" spans="1:4" s="1" customFormat="1" ht="19.75" customHeight="1" x14ac:dyDescent="0.25">
      <c r="A1122" s="9">
        <f>2013</f>
        <v>2013</v>
      </c>
      <c r="B1122" s="4" t="s">
        <v>79</v>
      </c>
      <c r="C1122" s="5">
        <v>12569.2806</v>
      </c>
      <c r="D1122" s="13">
        <v>2958.1008999999999</v>
      </c>
    </row>
    <row r="1123" spans="1:4" s="1" customFormat="1" ht="19.75" customHeight="1" x14ac:dyDescent="0.25">
      <c r="A1123" s="9">
        <f>2013</f>
        <v>2013</v>
      </c>
      <c r="B1123" s="4" t="s">
        <v>78</v>
      </c>
      <c r="C1123" s="2">
        <v>9152.6741999999995</v>
      </c>
      <c r="D1123" s="14">
        <v>2037.2088000000001</v>
      </c>
    </row>
    <row r="1124" spans="1:4" s="1" customFormat="1" ht="19.75" customHeight="1" x14ac:dyDescent="0.25">
      <c r="A1124" s="9">
        <f>2013</f>
        <v>2013</v>
      </c>
      <c r="B1124" s="4" t="s">
        <v>77</v>
      </c>
      <c r="C1124" s="5">
        <v>23881.3891</v>
      </c>
      <c r="D1124" s="13">
        <v>5946.7362999999996</v>
      </c>
    </row>
    <row r="1125" spans="1:4" s="1" customFormat="1" ht="19.75" customHeight="1" x14ac:dyDescent="0.25">
      <c r="A1125" s="9">
        <f>2013</f>
        <v>2013</v>
      </c>
      <c r="B1125" s="4" t="s">
        <v>76</v>
      </c>
      <c r="C1125" s="2">
        <v>22884.929800000002</v>
      </c>
      <c r="D1125" s="14">
        <v>5331.5466999999999</v>
      </c>
    </row>
    <row r="1126" spans="1:4" s="1" customFormat="1" ht="19.75" customHeight="1" x14ac:dyDescent="0.25">
      <c r="A1126" s="9">
        <f>2013</f>
        <v>2013</v>
      </c>
      <c r="B1126" s="4" t="s">
        <v>75</v>
      </c>
      <c r="C1126" s="5">
        <v>6580.0847999999996</v>
      </c>
      <c r="D1126" s="13">
        <v>1796.6428000000001</v>
      </c>
    </row>
    <row r="1127" spans="1:4" s="1" customFormat="1" ht="19.75" customHeight="1" x14ac:dyDescent="0.25">
      <c r="A1127" s="9">
        <f>2013</f>
        <v>2013</v>
      </c>
      <c r="B1127" s="4" t="s">
        <v>74</v>
      </c>
      <c r="C1127" s="2">
        <v>26198.943299999999</v>
      </c>
      <c r="D1127" s="14">
        <v>5141.9898999999996</v>
      </c>
    </row>
    <row r="1128" spans="1:4" s="1" customFormat="1" ht="19.75" customHeight="1" x14ac:dyDescent="0.25">
      <c r="A1128" s="9">
        <f>2013</f>
        <v>2013</v>
      </c>
      <c r="B1128" s="4" t="s">
        <v>73</v>
      </c>
      <c r="C1128" s="5">
        <v>16123.0808</v>
      </c>
      <c r="D1128" s="13">
        <v>4232.3272999999999</v>
      </c>
    </row>
    <row r="1129" spans="1:4" s="1" customFormat="1" ht="19.75" customHeight="1" x14ac:dyDescent="0.25">
      <c r="A1129" s="9">
        <f>2013</f>
        <v>2013</v>
      </c>
      <c r="B1129" s="4" t="s">
        <v>72</v>
      </c>
      <c r="C1129" s="2">
        <v>11908.234399999999</v>
      </c>
      <c r="D1129" s="14">
        <v>1996.7811999999999</v>
      </c>
    </row>
    <row r="1130" spans="1:4" s="1" customFormat="1" ht="19.75" customHeight="1" x14ac:dyDescent="0.25">
      <c r="A1130" s="9">
        <f>2013</f>
        <v>2013</v>
      </c>
      <c r="B1130" s="4" t="s">
        <v>71</v>
      </c>
      <c r="C1130" s="5">
        <v>6516.2879000000003</v>
      </c>
      <c r="D1130" s="13">
        <v>1299.6975</v>
      </c>
    </row>
    <row r="1131" spans="1:4" s="1" customFormat="1" ht="19.75" customHeight="1" x14ac:dyDescent="0.25">
      <c r="A1131" s="9">
        <f>2013</f>
        <v>2013</v>
      </c>
      <c r="B1131" s="4" t="s">
        <v>92</v>
      </c>
      <c r="C1131" s="2">
        <v>19691.1888</v>
      </c>
      <c r="D1131" s="14">
        <v>3134.3638999999998</v>
      </c>
    </row>
    <row r="1132" spans="1:4" s="1" customFormat="1" ht="19.75" customHeight="1" x14ac:dyDescent="0.25">
      <c r="A1132" s="9">
        <f>2013</f>
        <v>2013</v>
      </c>
      <c r="B1132" s="4" t="s">
        <v>69</v>
      </c>
      <c r="C1132" s="5">
        <v>9368.3742000000002</v>
      </c>
      <c r="D1132" s="13">
        <v>2750.8607999999999</v>
      </c>
    </row>
    <row r="1133" spans="1:4" s="1" customFormat="1" ht="19.75" customHeight="1" x14ac:dyDescent="0.25">
      <c r="A1133" s="9">
        <f>2013</f>
        <v>2013</v>
      </c>
      <c r="B1133" s="4" t="s">
        <v>68</v>
      </c>
      <c r="C1133" s="2">
        <v>15424.776099999999</v>
      </c>
      <c r="D1133" s="14">
        <v>3407.8436999999999</v>
      </c>
    </row>
    <row r="1134" spans="1:4" s="1" customFormat="1" ht="19.75" customHeight="1" x14ac:dyDescent="0.25">
      <c r="A1134" s="9">
        <f>2013</f>
        <v>2013</v>
      </c>
      <c r="B1134" s="4" t="s">
        <v>67</v>
      </c>
      <c r="C1134" s="5">
        <v>13003.6206</v>
      </c>
      <c r="D1134" s="13">
        <v>2665.1781000000001</v>
      </c>
    </row>
    <row r="1135" spans="1:4" s="1" customFormat="1" ht="19.75" customHeight="1" x14ac:dyDescent="0.25">
      <c r="A1135" s="9">
        <f>2013</f>
        <v>2013</v>
      </c>
      <c r="B1135" s="4" t="s">
        <v>66</v>
      </c>
      <c r="C1135" s="2">
        <v>5699.1021000000001</v>
      </c>
      <c r="D1135" s="14">
        <v>1096.3900000000001</v>
      </c>
    </row>
    <row r="1136" spans="1:4" s="1" customFormat="1" ht="19.75" customHeight="1" x14ac:dyDescent="0.25">
      <c r="A1136" s="9">
        <f>2013</f>
        <v>2013</v>
      </c>
      <c r="B1136" s="4" t="s">
        <v>65</v>
      </c>
      <c r="C1136" s="5">
        <v>27036.824100000002</v>
      </c>
      <c r="D1136" s="13">
        <v>8165.0545000000002</v>
      </c>
    </row>
    <row r="1137" spans="1:4" s="1" customFormat="1" ht="19.75" customHeight="1" x14ac:dyDescent="0.25">
      <c r="A1137" s="9">
        <f>2013</f>
        <v>2013</v>
      </c>
      <c r="B1137" s="4" t="s">
        <v>64</v>
      </c>
      <c r="C1137" s="2">
        <v>11666.631100000001</v>
      </c>
      <c r="D1137" s="14">
        <v>3178.8285999999998</v>
      </c>
    </row>
    <row r="1138" spans="1:4" s="1" customFormat="1" ht="19.75" customHeight="1" x14ac:dyDescent="0.25">
      <c r="A1138" s="9">
        <f>2013</f>
        <v>2013</v>
      </c>
      <c r="B1138" s="4" t="s">
        <v>63</v>
      </c>
      <c r="C1138" s="5">
        <v>12170.175800000001</v>
      </c>
      <c r="D1138" s="13">
        <v>2176.6172999999999</v>
      </c>
    </row>
    <row r="1139" spans="1:4" s="1" customFormat="1" ht="19.75" customHeight="1" x14ac:dyDescent="0.25">
      <c r="A1139" s="9">
        <f>2013</f>
        <v>2013</v>
      </c>
      <c r="B1139" s="4" t="s">
        <v>62</v>
      </c>
      <c r="C1139" s="2">
        <v>17581.863600000001</v>
      </c>
      <c r="D1139" s="14">
        <v>4512.1646000000001</v>
      </c>
    </row>
    <row r="1140" spans="1:4" s="1" customFormat="1" ht="19.75" customHeight="1" x14ac:dyDescent="0.25">
      <c r="A1140" s="9">
        <f>2013</f>
        <v>2013</v>
      </c>
      <c r="B1140" s="4" t="s">
        <v>61</v>
      </c>
      <c r="C1140" s="5">
        <v>6764.2286000000004</v>
      </c>
      <c r="D1140" s="13">
        <v>1503.9151999999999</v>
      </c>
    </row>
    <row r="1141" spans="1:4" s="1" customFormat="1" ht="19.75" customHeight="1" x14ac:dyDescent="0.25">
      <c r="A1141" s="9">
        <f>2013</f>
        <v>2013</v>
      </c>
      <c r="B1141" s="4" t="s">
        <v>60</v>
      </c>
      <c r="C1141" s="2">
        <v>7173.8838999999998</v>
      </c>
      <c r="D1141" s="14">
        <v>1362.9739</v>
      </c>
    </row>
    <row r="1142" spans="1:4" s="1" customFormat="1" ht="19.75" customHeight="1" x14ac:dyDescent="0.25">
      <c r="A1142" s="9">
        <f>2013</f>
        <v>2013</v>
      </c>
      <c r="B1142" s="4" t="s">
        <v>59</v>
      </c>
      <c r="C1142" s="5">
        <v>17516.311099999999</v>
      </c>
      <c r="D1142" s="13">
        <v>6914.2375000000002</v>
      </c>
    </row>
    <row r="1143" spans="1:4" s="1" customFormat="1" ht="19.75" customHeight="1" x14ac:dyDescent="0.25">
      <c r="A1143" s="9">
        <f>2013</f>
        <v>2013</v>
      </c>
      <c r="B1143" s="4" t="s">
        <v>54</v>
      </c>
      <c r="C1143" s="2">
        <v>1564.7397000000001</v>
      </c>
      <c r="D1143" s="14">
        <v>374.19970000000001</v>
      </c>
    </row>
    <row r="1144" spans="1:4" s="1" customFormat="1" ht="19.75" customHeight="1" x14ac:dyDescent="0.25">
      <c r="A1144" s="9">
        <f>2013</f>
        <v>2013</v>
      </c>
      <c r="B1144" s="4" t="s">
        <v>53</v>
      </c>
      <c r="C1144" s="5">
        <v>981.64790000000005</v>
      </c>
      <c r="D1144" s="13">
        <v>331.8202</v>
      </c>
    </row>
    <row r="1145" spans="1:4" s="1" customFormat="1" ht="19.75" customHeight="1" x14ac:dyDescent="0.25">
      <c r="A1145" s="9">
        <f>2013</f>
        <v>2013</v>
      </c>
      <c r="B1145" s="4" t="s">
        <v>52</v>
      </c>
      <c r="C1145" s="2">
        <v>631.69460000000004</v>
      </c>
      <c r="D1145" s="14">
        <v>275.29480000000001</v>
      </c>
    </row>
    <row r="1146" spans="1:4" s="1" customFormat="1" ht="19.75" customHeight="1" x14ac:dyDescent="0.25">
      <c r="A1146" s="9">
        <f>2013</f>
        <v>2013</v>
      </c>
      <c r="B1146" s="4" t="s">
        <v>51</v>
      </c>
      <c r="C1146" s="5">
        <v>1031.5764999999999</v>
      </c>
      <c r="D1146" s="13">
        <v>339.32130000000001</v>
      </c>
    </row>
    <row r="1147" spans="1:4" s="1" customFormat="1" ht="19.75" customHeight="1" x14ac:dyDescent="0.25">
      <c r="A1147" s="9">
        <f>2013</f>
        <v>2013</v>
      </c>
      <c r="B1147" s="4" t="s">
        <v>50</v>
      </c>
      <c r="C1147" s="2">
        <v>4192.9123</v>
      </c>
      <c r="D1147" s="14">
        <v>1184.5389</v>
      </c>
    </row>
    <row r="1148" spans="1:4" s="1" customFormat="1" ht="19.75" customHeight="1" x14ac:dyDescent="0.25">
      <c r="A1148" s="9">
        <f>2013</f>
        <v>2013</v>
      </c>
      <c r="B1148" s="4" t="s">
        <v>48</v>
      </c>
      <c r="C1148" s="5">
        <v>19253.752100000002</v>
      </c>
      <c r="D1148" s="13">
        <v>11236.1165</v>
      </c>
    </row>
    <row r="1149" spans="1:4" s="1" customFormat="1" ht="19.75" customHeight="1" x14ac:dyDescent="0.25">
      <c r="A1149" s="9">
        <f>2013</f>
        <v>2013</v>
      </c>
      <c r="B1149" s="4" t="s">
        <v>47</v>
      </c>
      <c r="C1149" s="2">
        <v>26209.184799999999</v>
      </c>
      <c r="D1149" s="14">
        <v>9012.8837000000003</v>
      </c>
    </row>
    <row r="1150" spans="1:4" s="1" customFormat="1" ht="19.75" customHeight="1" x14ac:dyDescent="0.25">
      <c r="A1150" s="9">
        <f>2013</f>
        <v>2013</v>
      </c>
      <c r="B1150" s="4" t="s">
        <v>46</v>
      </c>
      <c r="C1150" s="5">
        <v>4750.3662000000004</v>
      </c>
      <c r="D1150" s="13">
        <v>1756.3626999999999</v>
      </c>
    </row>
    <row r="1151" spans="1:4" s="1" customFormat="1" ht="19.75" customHeight="1" x14ac:dyDescent="0.25">
      <c r="A1151" s="9">
        <f>2013</f>
        <v>2013</v>
      </c>
      <c r="B1151" s="4" t="s">
        <v>45</v>
      </c>
      <c r="C1151" s="2">
        <v>3322.9537</v>
      </c>
      <c r="D1151" s="14">
        <v>1272.8161</v>
      </c>
    </row>
    <row r="1152" spans="1:4" s="1" customFormat="1" ht="19.75" customHeight="1" x14ac:dyDescent="0.25">
      <c r="A1152" s="9">
        <f>2013</f>
        <v>2013</v>
      </c>
      <c r="B1152" s="4" t="s">
        <v>44</v>
      </c>
      <c r="C1152" s="5">
        <v>3820.7570000000001</v>
      </c>
      <c r="D1152" s="13">
        <v>989.01509999999996</v>
      </c>
    </row>
    <row r="1153" spans="1:4" s="1" customFormat="1" ht="19.75" customHeight="1" x14ac:dyDescent="0.25">
      <c r="A1153" s="9">
        <f>2013</f>
        <v>2013</v>
      </c>
      <c r="B1153" s="4" t="s">
        <v>43</v>
      </c>
      <c r="C1153" s="2">
        <v>2860.5563000000002</v>
      </c>
      <c r="D1153" s="14">
        <v>666.03579999999999</v>
      </c>
    </row>
    <row r="1154" spans="1:4" s="1" customFormat="1" ht="19.75" customHeight="1" x14ac:dyDescent="0.25">
      <c r="A1154" s="9">
        <f>2013</f>
        <v>2013</v>
      </c>
      <c r="B1154" s="4" t="s">
        <v>42</v>
      </c>
      <c r="C1154" s="5">
        <v>3083.9621000000002</v>
      </c>
      <c r="D1154" s="13">
        <v>762.197</v>
      </c>
    </row>
    <row r="1155" spans="1:4" s="1" customFormat="1" ht="19.75" customHeight="1" x14ac:dyDescent="0.25">
      <c r="A1155" s="9">
        <f>2013</f>
        <v>2013</v>
      </c>
      <c r="B1155" s="4" t="s">
        <v>41</v>
      </c>
      <c r="C1155" s="2">
        <v>4836.8182999999999</v>
      </c>
      <c r="D1155" s="14">
        <v>2209.7310000000002</v>
      </c>
    </row>
    <row r="1156" spans="1:4" s="1" customFormat="1" ht="19.75" customHeight="1" x14ac:dyDescent="0.25">
      <c r="A1156" s="9">
        <f>2013</f>
        <v>2013</v>
      </c>
      <c r="B1156" s="4" t="s">
        <v>40</v>
      </c>
      <c r="C1156" s="5">
        <v>1368.5498</v>
      </c>
      <c r="D1156" s="13">
        <v>337.91770000000002</v>
      </c>
    </row>
    <row r="1157" spans="1:4" s="1" customFormat="1" ht="19.75" customHeight="1" x14ac:dyDescent="0.25">
      <c r="A1157" s="9">
        <f>2013</f>
        <v>2013</v>
      </c>
      <c r="B1157" s="4" t="s">
        <v>38</v>
      </c>
      <c r="C1157" s="2">
        <v>246.10429999999999</v>
      </c>
      <c r="D1157" s="14">
        <v>80.062100000000001</v>
      </c>
    </row>
    <row r="1158" spans="1:4" s="1" customFormat="1" ht="19.75" customHeight="1" x14ac:dyDescent="0.25">
      <c r="A1158" s="9">
        <f>2013</f>
        <v>2013</v>
      </c>
      <c r="B1158" s="4" t="s">
        <v>37</v>
      </c>
      <c r="C1158" s="5">
        <v>621.77340000000004</v>
      </c>
      <c r="D1158" s="13">
        <v>227.2961</v>
      </c>
    </row>
    <row r="1159" spans="1:4" s="1" customFormat="1" ht="19.75" customHeight="1" x14ac:dyDescent="0.25">
      <c r="A1159" s="9">
        <f>2013</f>
        <v>2013</v>
      </c>
      <c r="B1159" s="4" t="s">
        <v>34</v>
      </c>
      <c r="C1159" s="2">
        <v>3153.4643999999998</v>
      </c>
      <c r="D1159" s="14">
        <v>767.16859999999997</v>
      </c>
    </row>
    <row r="1160" spans="1:4" s="1" customFormat="1" ht="19.75" customHeight="1" x14ac:dyDescent="0.25">
      <c r="A1160" s="9">
        <f>2013</f>
        <v>2013</v>
      </c>
      <c r="B1160" s="4" t="s">
        <v>33</v>
      </c>
      <c r="C1160" s="5">
        <v>1610.8423</v>
      </c>
      <c r="D1160" s="13">
        <v>418.5299</v>
      </c>
    </row>
    <row r="1161" spans="1:4" s="1" customFormat="1" ht="19.75" customHeight="1" x14ac:dyDescent="0.25">
      <c r="A1161" s="9">
        <f>2013</f>
        <v>2013</v>
      </c>
      <c r="B1161" s="4" t="s">
        <v>31</v>
      </c>
      <c r="C1161" s="2">
        <v>6075.2092000000002</v>
      </c>
      <c r="D1161" s="14">
        <v>1334.5367000000001</v>
      </c>
    </row>
    <row r="1162" spans="1:4" s="1" customFormat="1" ht="19.75" customHeight="1" x14ac:dyDescent="0.25">
      <c r="A1162" s="9">
        <f>2013</f>
        <v>2013</v>
      </c>
      <c r="B1162" s="4" t="s">
        <v>30</v>
      </c>
      <c r="C1162" s="5">
        <v>1.3403</v>
      </c>
      <c r="D1162" s="13">
        <v>10.146699999999999</v>
      </c>
    </row>
    <row r="1163" spans="1:4" s="1" customFormat="1" ht="19.75" customHeight="1" x14ac:dyDescent="0.25">
      <c r="A1163" s="9">
        <f>2013</f>
        <v>2013</v>
      </c>
      <c r="B1163" s="4" t="s">
        <v>29</v>
      </c>
      <c r="C1163" s="2">
        <v>69.409099999999995</v>
      </c>
      <c r="D1163" s="14">
        <v>24.497599999999998</v>
      </c>
    </row>
    <row r="1164" spans="1:4" s="1" customFormat="1" ht="19.75" customHeight="1" x14ac:dyDescent="0.25">
      <c r="A1164" s="9">
        <f>2013</f>
        <v>2013</v>
      </c>
      <c r="B1164" s="4" t="s">
        <v>91</v>
      </c>
      <c r="C1164" s="5">
        <v>117.3322</v>
      </c>
      <c r="D1164" s="13">
        <v>569.95429999999999</v>
      </c>
    </row>
    <row r="1165" spans="1:4" s="1" customFormat="1" ht="19.75" customHeight="1" x14ac:dyDescent="0.25">
      <c r="A1165" s="9">
        <f>2013</f>
        <v>2013</v>
      </c>
      <c r="B1165" s="4" t="s">
        <v>103</v>
      </c>
      <c r="C1165" s="2">
        <v>162.67449999999999</v>
      </c>
      <c r="D1165" s="14">
        <v>123.465</v>
      </c>
    </row>
    <row r="1166" spans="1:4" s="1" customFormat="1" ht="19.75" customHeight="1" x14ac:dyDescent="0.25">
      <c r="A1166" s="9">
        <f>2013</f>
        <v>2013</v>
      </c>
      <c r="B1166" s="4" t="s">
        <v>27</v>
      </c>
      <c r="C1166" s="5">
        <v>573.1336</v>
      </c>
      <c r="D1166" s="13">
        <v>439.48390000000001</v>
      </c>
    </row>
    <row r="1167" spans="1:4" s="1" customFormat="1" ht="19.75" customHeight="1" x14ac:dyDescent="0.25">
      <c r="A1167" s="9">
        <f>2013</f>
        <v>2013</v>
      </c>
      <c r="B1167" s="4" t="s">
        <v>26</v>
      </c>
      <c r="C1167" s="2">
        <v>42.100700000000003</v>
      </c>
      <c r="D1167" s="14">
        <v>19.082899999999999</v>
      </c>
    </row>
    <row r="1168" spans="1:4" s="1" customFormat="1" ht="19.75" customHeight="1" x14ac:dyDescent="0.25">
      <c r="A1168" s="9">
        <f>2013</f>
        <v>2013</v>
      </c>
      <c r="B1168" s="4" t="s">
        <v>25</v>
      </c>
      <c r="C1168" s="5">
        <v>5.5541999999999998</v>
      </c>
      <c r="D1168" s="13">
        <v>5.3986000000000001</v>
      </c>
    </row>
    <row r="1169" spans="1:4" s="1" customFormat="1" ht="19.75" customHeight="1" x14ac:dyDescent="0.25">
      <c r="A1169" s="9">
        <f>2013</f>
        <v>2013</v>
      </c>
      <c r="B1169" s="4" t="s">
        <v>24</v>
      </c>
      <c r="C1169" s="2">
        <v>455.39409999999998</v>
      </c>
      <c r="D1169" s="14">
        <v>84.064400000000006</v>
      </c>
    </row>
    <row r="1170" spans="1:4" s="1" customFormat="1" ht="19.75" customHeight="1" x14ac:dyDescent="0.25">
      <c r="A1170" s="9">
        <f>2013</f>
        <v>2013</v>
      </c>
      <c r="B1170" s="4" t="s">
        <v>23</v>
      </c>
      <c r="C1170" s="5">
        <v>980.83370000000002</v>
      </c>
      <c r="D1170" s="13">
        <v>519.29200000000003</v>
      </c>
    </row>
    <row r="1171" spans="1:4" s="1" customFormat="1" ht="19.75" customHeight="1" x14ac:dyDescent="0.25">
      <c r="A1171" s="9">
        <f>2013</f>
        <v>2013</v>
      </c>
      <c r="B1171" s="4" t="s">
        <v>22</v>
      </c>
      <c r="C1171" s="2">
        <v>400.78989999999999</v>
      </c>
      <c r="D1171" s="14">
        <v>395.589</v>
      </c>
    </row>
    <row r="1172" spans="1:4" s="1" customFormat="1" ht="19.75" customHeight="1" x14ac:dyDescent="0.25">
      <c r="A1172" s="9">
        <f>2013</f>
        <v>2013</v>
      </c>
      <c r="B1172" s="4" t="s">
        <v>21</v>
      </c>
      <c r="C1172" s="5">
        <v>3738.18</v>
      </c>
      <c r="D1172" s="13">
        <v>2894.76</v>
      </c>
    </row>
    <row r="1173" spans="1:4" s="1" customFormat="1" ht="19.75" customHeight="1" x14ac:dyDescent="0.25">
      <c r="A1173" s="9">
        <f>2013</f>
        <v>2013</v>
      </c>
      <c r="B1173" s="4" t="s">
        <v>96</v>
      </c>
      <c r="C1173" s="2">
        <v>2.2919</v>
      </c>
      <c r="D1173" s="14">
        <v>26.095199999999998</v>
      </c>
    </row>
    <row r="1174" spans="1:4" s="1" customFormat="1" ht="19.75" customHeight="1" x14ac:dyDescent="0.25">
      <c r="A1174" s="9">
        <f>2013</f>
        <v>2013</v>
      </c>
      <c r="B1174" s="4" t="s">
        <v>102</v>
      </c>
      <c r="C1174" s="5">
        <v>9.5106999999999999</v>
      </c>
      <c r="D1174" s="13">
        <v>57.823999999999998</v>
      </c>
    </row>
    <row r="1175" spans="1:4" s="1" customFormat="1" ht="19.75" customHeight="1" x14ac:dyDescent="0.25">
      <c r="A1175" s="9">
        <f>2013</f>
        <v>2013</v>
      </c>
      <c r="B1175" s="4" t="s">
        <v>20</v>
      </c>
      <c r="C1175" s="2">
        <v>222.88210000000001</v>
      </c>
      <c r="D1175" s="14">
        <v>93.875799999999998</v>
      </c>
    </row>
    <row r="1176" spans="1:4" s="1" customFormat="1" ht="19.75" customHeight="1" x14ac:dyDescent="0.25">
      <c r="A1176" s="9">
        <f>2013</f>
        <v>2013</v>
      </c>
      <c r="B1176" s="4" t="s">
        <v>101</v>
      </c>
      <c r="C1176" s="5">
        <v>96.130099999999999</v>
      </c>
      <c r="D1176" s="13">
        <v>51.875599999999999</v>
      </c>
    </row>
    <row r="1177" spans="1:4" s="1" customFormat="1" ht="19.75" customHeight="1" x14ac:dyDescent="0.25">
      <c r="A1177" s="9">
        <f>2013</f>
        <v>2013</v>
      </c>
      <c r="B1177" s="4" t="s">
        <v>19</v>
      </c>
      <c r="C1177" s="2">
        <v>12.3803</v>
      </c>
      <c r="D1177" s="14">
        <v>20.114799999999999</v>
      </c>
    </row>
    <row r="1178" spans="1:4" s="1" customFormat="1" ht="19.75" customHeight="1" x14ac:dyDescent="0.25">
      <c r="A1178" s="9">
        <f>2013</f>
        <v>2013</v>
      </c>
      <c r="B1178" s="4" t="s">
        <v>18</v>
      </c>
      <c r="C1178" s="5">
        <v>1535.8925999999999</v>
      </c>
      <c r="D1178" s="13">
        <v>488.10829999999999</v>
      </c>
    </row>
    <row r="1179" spans="1:4" s="1" customFormat="1" ht="19.75" customHeight="1" x14ac:dyDescent="0.25">
      <c r="A1179" s="9">
        <f>2013</f>
        <v>2013</v>
      </c>
      <c r="B1179" s="4" t="s">
        <v>17</v>
      </c>
      <c r="C1179" s="2">
        <v>706.90250000000003</v>
      </c>
      <c r="D1179" s="14">
        <v>1110.7944</v>
      </c>
    </row>
    <row r="1180" spans="1:4" s="1" customFormat="1" ht="19.75" customHeight="1" x14ac:dyDescent="0.25">
      <c r="A1180" s="9">
        <f>2013</f>
        <v>2013</v>
      </c>
      <c r="B1180" s="4" t="s">
        <v>94</v>
      </c>
      <c r="C1180" s="5">
        <v>28.618600000000001</v>
      </c>
      <c r="D1180" s="13">
        <v>110.343</v>
      </c>
    </row>
    <row r="1181" spans="1:4" s="1" customFormat="1" ht="19.75" customHeight="1" x14ac:dyDescent="0.25">
      <c r="A1181" s="9">
        <f>2013</f>
        <v>2013</v>
      </c>
      <c r="B1181" s="4" t="s">
        <v>16</v>
      </c>
      <c r="C1181" s="2">
        <v>3000.6311999999998</v>
      </c>
      <c r="D1181" s="14">
        <v>2464.6489999999999</v>
      </c>
    </row>
    <row r="1182" spans="1:4" s="1" customFormat="1" ht="19.75" customHeight="1" x14ac:dyDescent="0.25">
      <c r="A1182" s="9">
        <f>2013</f>
        <v>2013</v>
      </c>
      <c r="B1182" s="4" t="s">
        <v>15</v>
      </c>
      <c r="C1182" s="5">
        <v>9.3876000000000008</v>
      </c>
      <c r="D1182" s="13">
        <v>9.5536999999999992</v>
      </c>
    </row>
    <row r="1183" spans="1:4" s="1" customFormat="1" ht="19.75" customHeight="1" x14ac:dyDescent="0.25">
      <c r="A1183" s="9">
        <f>2013</f>
        <v>2013</v>
      </c>
      <c r="B1183" s="4" t="s">
        <v>100</v>
      </c>
      <c r="C1183" s="2">
        <v>5.6607000000000003</v>
      </c>
      <c r="D1183" s="14">
        <v>23.448699999999999</v>
      </c>
    </row>
    <row r="1184" spans="1:4" s="1" customFormat="1" ht="19.75" customHeight="1" x14ac:dyDescent="0.25">
      <c r="A1184" s="9">
        <f>2013</f>
        <v>2013</v>
      </c>
      <c r="B1184" s="4" t="s">
        <v>13</v>
      </c>
      <c r="C1184" s="5">
        <v>742.25279999999998</v>
      </c>
      <c r="D1184" s="13">
        <v>213.70769999999999</v>
      </c>
    </row>
    <row r="1185" spans="1:4" s="1" customFormat="1" ht="19.75" customHeight="1" x14ac:dyDescent="0.25">
      <c r="A1185" s="9">
        <f>2013</f>
        <v>2013</v>
      </c>
      <c r="B1185" s="4" t="s">
        <v>90</v>
      </c>
      <c r="C1185" s="2">
        <v>0.29089999999999999</v>
      </c>
      <c r="D1185" s="14">
        <v>10.1799</v>
      </c>
    </row>
    <row r="1186" spans="1:4" s="1" customFormat="1" ht="19.75" customHeight="1" x14ac:dyDescent="0.25">
      <c r="A1186" s="9">
        <f>2013</f>
        <v>2013</v>
      </c>
      <c r="B1186" s="4" t="s">
        <v>88</v>
      </c>
      <c r="C1186" s="5">
        <v>21.4284</v>
      </c>
      <c r="D1186" s="13">
        <v>17.547599999999999</v>
      </c>
    </row>
    <row r="1187" spans="1:4" s="1" customFormat="1" ht="19.75" customHeight="1" x14ac:dyDescent="0.25">
      <c r="A1187" s="9">
        <f>2013</f>
        <v>2013</v>
      </c>
      <c r="B1187" s="4" t="s">
        <v>11</v>
      </c>
      <c r="C1187" s="2">
        <v>7.7557</v>
      </c>
      <c r="D1187" s="14">
        <v>3.6627999999999998</v>
      </c>
    </row>
    <row r="1188" spans="1:4" s="1" customFormat="1" ht="19.75" customHeight="1" x14ac:dyDescent="0.25">
      <c r="A1188" s="9">
        <f>2013</f>
        <v>2013</v>
      </c>
      <c r="B1188" s="4" t="s">
        <v>10</v>
      </c>
      <c r="C1188" s="5">
        <v>9.8699999999999996E-2</v>
      </c>
      <c r="D1188" s="13">
        <v>10.976000000000001</v>
      </c>
    </row>
    <row r="1189" spans="1:4" s="1" customFormat="1" ht="19.75" customHeight="1" x14ac:dyDescent="0.25">
      <c r="A1189" s="9">
        <f>2013</f>
        <v>2013</v>
      </c>
      <c r="B1189" s="4" t="s">
        <v>9</v>
      </c>
      <c r="C1189" s="2">
        <v>60.320300000000003</v>
      </c>
      <c r="D1189" s="14">
        <v>77.562399999999997</v>
      </c>
    </row>
    <row r="1190" spans="1:4" s="1" customFormat="1" ht="19.75" customHeight="1" x14ac:dyDescent="0.25">
      <c r="A1190" s="9">
        <f>2013</f>
        <v>2013</v>
      </c>
      <c r="B1190" s="4" t="s">
        <v>8</v>
      </c>
      <c r="C1190" s="5">
        <v>292.15449999999998</v>
      </c>
      <c r="D1190" s="13">
        <v>168.45660000000001</v>
      </c>
    </row>
    <row r="1191" spans="1:4" s="1" customFormat="1" ht="19.75" customHeight="1" x14ac:dyDescent="0.25">
      <c r="A1191" s="9">
        <f>2013</f>
        <v>2013</v>
      </c>
      <c r="B1191" s="4" t="s">
        <v>99</v>
      </c>
      <c r="C1191" s="2">
        <v>1.4999999999999999E-2</v>
      </c>
      <c r="D1191" s="14">
        <v>21.762899999999998</v>
      </c>
    </row>
    <row r="1192" spans="1:4" s="1" customFormat="1" ht="19.75" customHeight="1" x14ac:dyDescent="0.25">
      <c r="A1192" s="9">
        <f>2013</f>
        <v>2013</v>
      </c>
      <c r="B1192" s="4" t="s">
        <v>7</v>
      </c>
      <c r="C1192" s="6"/>
      <c r="D1192" s="13">
        <v>5.4219999999999997</v>
      </c>
    </row>
    <row r="1193" spans="1:4" s="1" customFormat="1" ht="19.75" customHeight="1" x14ac:dyDescent="0.25">
      <c r="A1193" s="9">
        <f>2013</f>
        <v>2013</v>
      </c>
      <c r="B1193" s="4" t="s">
        <v>98</v>
      </c>
      <c r="C1193" s="2">
        <v>9.2899999999999996E-2</v>
      </c>
      <c r="D1193" s="14">
        <v>13.3344</v>
      </c>
    </row>
    <row r="1194" spans="1:4" s="1" customFormat="1" ht="19.75" customHeight="1" x14ac:dyDescent="0.25">
      <c r="A1194" s="9">
        <f>2013</f>
        <v>2013</v>
      </c>
      <c r="B1194" s="4" t="s">
        <v>6</v>
      </c>
      <c r="C1194" s="5">
        <v>78.702100000000002</v>
      </c>
      <c r="D1194" s="13">
        <v>16.395099999999999</v>
      </c>
    </row>
    <row r="1195" spans="1:4" s="1" customFormat="1" ht="19.75" customHeight="1" x14ac:dyDescent="0.25">
      <c r="A1195" s="9">
        <f>2013</f>
        <v>2013</v>
      </c>
      <c r="B1195" s="4" t="s">
        <v>5</v>
      </c>
      <c r="C1195" s="2">
        <v>104.8236</v>
      </c>
      <c r="D1195" s="14">
        <v>31.4269</v>
      </c>
    </row>
    <row r="1196" spans="1:4" s="1" customFormat="1" ht="19.75" customHeight="1" x14ac:dyDescent="0.25">
      <c r="A1196" s="9">
        <f>2013</f>
        <v>2013</v>
      </c>
      <c r="B1196" s="4" t="s">
        <v>4</v>
      </c>
      <c r="C1196" s="5">
        <v>119.1331</v>
      </c>
      <c r="D1196" s="13">
        <v>75.389300000000006</v>
      </c>
    </row>
    <row r="1197" spans="1:4" s="1" customFormat="1" ht="19.75" customHeight="1" x14ac:dyDescent="0.25">
      <c r="A1197" s="9">
        <f>2013</f>
        <v>2013</v>
      </c>
      <c r="B1197" s="4" t="s">
        <v>3</v>
      </c>
      <c r="C1197" s="2">
        <v>1.0961000000000001</v>
      </c>
      <c r="D1197" s="14">
        <v>5.4175000000000004</v>
      </c>
    </row>
    <row r="1198" spans="1:4" s="1" customFormat="1" ht="19.75" customHeight="1" x14ac:dyDescent="0.25">
      <c r="A1198" s="9">
        <f>2013</f>
        <v>2013</v>
      </c>
      <c r="B1198" s="4" t="s">
        <v>2</v>
      </c>
      <c r="C1198" s="5">
        <v>4069.2017000000001</v>
      </c>
      <c r="D1198" s="13">
        <v>2904.0911999999998</v>
      </c>
    </row>
    <row r="1199" spans="1:4" s="1" customFormat="1" ht="19.75" customHeight="1" x14ac:dyDescent="0.25">
      <c r="A1199" s="9">
        <f>2013</f>
        <v>2013</v>
      </c>
      <c r="B1199" s="4" t="s">
        <v>105</v>
      </c>
      <c r="C1199" s="2">
        <v>4.0000000000000002E-4</v>
      </c>
      <c r="D1199" s="14">
        <v>25.698799999999999</v>
      </c>
    </row>
    <row r="1200" spans="1:4" s="1" customFormat="1" ht="19.75" customHeight="1" x14ac:dyDescent="0.25">
      <c r="A1200" s="9">
        <f>2013</f>
        <v>2013</v>
      </c>
      <c r="B1200" s="4" t="s">
        <v>93</v>
      </c>
      <c r="C1200" s="5">
        <v>932.471</v>
      </c>
      <c r="D1200" s="13">
        <v>1027.3878999999999</v>
      </c>
    </row>
    <row r="1201" spans="1:4" s="1" customFormat="1" ht="19.75" customHeight="1" x14ac:dyDescent="0.25">
      <c r="A1201" s="9">
        <f>2013</f>
        <v>2013</v>
      </c>
      <c r="B1201" s="4" t="s">
        <v>89</v>
      </c>
      <c r="C1201" s="2">
        <v>126.2148</v>
      </c>
      <c r="D1201" s="14">
        <v>96.9619</v>
      </c>
    </row>
    <row r="1202" spans="1:4" s="1" customFormat="1" ht="19.75" customHeight="1" x14ac:dyDescent="0.25">
      <c r="A1202" s="9">
        <f>2013</f>
        <v>2013</v>
      </c>
      <c r="B1202" s="4" t="s">
        <v>95</v>
      </c>
      <c r="C1202" s="5">
        <v>5.91E-2</v>
      </c>
      <c r="D1202" s="13">
        <v>11.831799999999999</v>
      </c>
    </row>
    <row r="1203" spans="1:4" s="1" customFormat="1" ht="19.75" customHeight="1" x14ac:dyDescent="0.25">
      <c r="A1203" s="9">
        <f>2013</f>
        <v>2013</v>
      </c>
      <c r="B1203" s="4" t="s">
        <v>104</v>
      </c>
      <c r="C1203" s="2">
        <v>9.5999999999999992E-3</v>
      </c>
      <c r="D1203" s="14">
        <v>15.3529</v>
      </c>
    </row>
    <row r="1204" spans="1:4" s="1" customFormat="1" ht="19.75" customHeight="1" x14ac:dyDescent="0.25">
      <c r="A1204" s="9">
        <f>2013</f>
        <v>2013</v>
      </c>
      <c r="B1204" s="4" t="s">
        <v>97</v>
      </c>
      <c r="C1204" s="5">
        <v>5.6481000000000003</v>
      </c>
      <c r="D1204" s="13">
        <v>11.7881</v>
      </c>
    </row>
    <row r="1205" spans="1:4" s="1" customFormat="1" ht="19.75" customHeight="1" x14ac:dyDescent="0.25">
      <c r="A1205" s="9">
        <f>2012</f>
        <v>2012</v>
      </c>
      <c r="B1205" s="4" t="s">
        <v>87</v>
      </c>
      <c r="C1205" s="2">
        <v>4069.9612999999999</v>
      </c>
      <c r="D1205" s="14">
        <v>1330.7535</v>
      </c>
    </row>
    <row r="1206" spans="1:4" s="1" customFormat="1" ht="19.75" customHeight="1" x14ac:dyDescent="0.25">
      <c r="A1206" s="9">
        <f>2012</f>
        <v>2012</v>
      </c>
      <c r="B1206" s="4" t="s">
        <v>86</v>
      </c>
      <c r="C1206" s="5">
        <v>7282.1778999999997</v>
      </c>
      <c r="D1206" s="13">
        <v>1735.8109999999999</v>
      </c>
    </row>
    <row r="1207" spans="1:4" s="1" customFormat="1" ht="19.75" customHeight="1" x14ac:dyDescent="0.25">
      <c r="A1207" s="9">
        <f>2012</f>
        <v>2012</v>
      </c>
      <c r="B1207" s="4" t="s">
        <v>85</v>
      </c>
      <c r="C1207" s="2">
        <v>63230.368699999999</v>
      </c>
      <c r="D1207" s="14">
        <v>26068.992099999999</v>
      </c>
    </row>
    <row r="1208" spans="1:4" s="1" customFormat="1" ht="19.75" customHeight="1" x14ac:dyDescent="0.25">
      <c r="A1208" s="9">
        <f>2012</f>
        <v>2012</v>
      </c>
      <c r="B1208" s="4" t="s">
        <v>83</v>
      </c>
      <c r="C1208" s="5">
        <v>3494.1387</v>
      </c>
      <c r="D1208" s="13">
        <v>1041.0719999999999</v>
      </c>
    </row>
    <row r="1209" spans="1:4" s="1" customFormat="1" ht="19.75" customHeight="1" x14ac:dyDescent="0.25">
      <c r="A1209" s="9">
        <f>2012</f>
        <v>2012</v>
      </c>
      <c r="B1209" s="4" t="s">
        <v>82</v>
      </c>
      <c r="C1209" s="2">
        <v>5785.8652000000002</v>
      </c>
      <c r="D1209" s="14">
        <v>1323.3641</v>
      </c>
    </row>
    <row r="1210" spans="1:4" s="1" customFormat="1" ht="19.75" customHeight="1" x14ac:dyDescent="0.25">
      <c r="A1210" s="9">
        <f>2012</f>
        <v>2012</v>
      </c>
      <c r="B1210" s="4" t="s">
        <v>80</v>
      </c>
      <c r="C1210" s="5">
        <v>4998.3896999999997</v>
      </c>
      <c r="D1210" s="13">
        <v>1229.8622</v>
      </c>
    </row>
    <row r="1211" spans="1:4" s="1" customFormat="1" ht="19.75" customHeight="1" x14ac:dyDescent="0.25">
      <c r="A1211" s="9">
        <f>2012</f>
        <v>2012</v>
      </c>
      <c r="B1211" s="4" t="s">
        <v>79</v>
      </c>
      <c r="C1211" s="2">
        <v>10360.6301</v>
      </c>
      <c r="D1211" s="14">
        <v>2691.3887</v>
      </c>
    </row>
    <row r="1212" spans="1:4" s="1" customFormat="1" ht="19.75" customHeight="1" x14ac:dyDescent="0.25">
      <c r="A1212" s="9">
        <f>2012</f>
        <v>2012</v>
      </c>
      <c r="B1212" s="4" t="s">
        <v>78</v>
      </c>
      <c r="C1212" s="5">
        <v>7579.4067999999997</v>
      </c>
      <c r="D1212" s="13">
        <v>1804.2492</v>
      </c>
    </row>
    <row r="1213" spans="1:4" s="1" customFormat="1" ht="19.75" customHeight="1" x14ac:dyDescent="0.25">
      <c r="A1213" s="9">
        <f>2012</f>
        <v>2012</v>
      </c>
      <c r="B1213" s="4" t="s">
        <v>77</v>
      </c>
      <c r="C1213" s="2">
        <v>19356.712299999999</v>
      </c>
      <c r="D1213" s="14">
        <v>5158.7173000000003</v>
      </c>
    </row>
    <row r="1214" spans="1:4" s="1" customFormat="1" ht="19.75" customHeight="1" x14ac:dyDescent="0.25">
      <c r="A1214" s="9">
        <f>2012</f>
        <v>2012</v>
      </c>
      <c r="B1214" s="4" t="s">
        <v>76</v>
      </c>
      <c r="C1214" s="5">
        <v>20167.233</v>
      </c>
      <c r="D1214" s="13">
        <v>4940.6580999999996</v>
      </c>
    </row>
    <row r="1215" spans="1:4" s="1" customFormat="1" ht="19.75" customHeight="1" x14ac:dyDescent="0.25">
      <c r="A1215" s="9">
        <f>2012</f>
        <v>2012</v>
      </c>
      <c r="B1215" s="4" t="s">
        <v>75</v>
      </c>
      <c r="C1215" s="2">
        <v>4696.8751000000002</v>
      </c>
      <c r="D1215" s="14">
        <v>1642.5151000000001</v>
      </c>
    </row>
    <row r="1216" spans="1:4" s="1" customFormat="1" ht="19.75" customHeight="1" x14ac:dyDescent="0.25">
      <c r="A1216" s="9">
        <f>2012</f>
        <v>2012</v>
      </c>
      <c r="B1216" s="4" t="s">
        <v>74</v>
      </c>
      <c r="C1216" s="5">
        <v>23161.311600000001</v>
      </c>
      <c r="D1216" s="13">
        <v>4673.7434000000003</v>
      </c>
    </row>
    <row r="1217" spans="1:4" s="1" customFormat="1" ht="19.75" customHeight="1" x14ac:dyDescent="0.25">
      <c r="A1217" s="9">
        <f>2012</f>
        <v>2012</v>
      </c>
      <c r="B1217" s="4" t="s">
        <v>73</v>
      </c>
      <c r="C1217" s="2">
        <v>13980.859200000001</v>
      </c>
      <c r="D1217" s="14">
        <v>3748.9951999999998</v>
      </c>
    </row>
    <row r="1218" spans="1:4" s="1" customFormat="1" ht="19.75" customHeight="1" x14ac:dyDescent="0.25">
      <c r="A1218" s="9">
        <f>2012</f>
        <v>2012</v>
      </c>
      <c r="B1218" s="4" t="s">
        <v>72</v>
      </c>
      <c r="C1218" s="5">
        <v>9870.8852999999999</v>
      </c>
      <c r="D1218" s="13">
        <v>1783.55</v>
      </c>
    </row>
    <row r="1219" spans="1:4" s="1" customFormat="1" ht="19.75" customHeight="1" x14ac:dyDescent="0.25">
      <c r="A1219" s="9">
        <f>2012</f>
        <v>2012</v>
      </c>
      <c r="B1219" s="4" t="s">
        <v>71</v>
      </c>
      <c r="C1219" s="2">
        <v>4693.1251000000002</v>
      </c>
      <c r="D1219" s="14">
        <v>1154.7449999999999</v>
      </c>
    </row>
    <row r="1220" spans="1:4" s="1" customFormat="1" ht="19.75" customHeight="1" x14ac:dyDescent="0.25">
      <c r="A1220" s="9">
        <f>2012</f>
        <v>2012</v>
      </c>
      <c r="B1220" s="4" t="s">
        <v>92</v>
      </c>
      <c r="C1220" s="5">
        <v>18825.082299999998</v>
      </c>
      <c r="D1220" s="13">
        <v>2607.4531999999999</v>
      </c>
    </row>
    <row r="1221" spans="1:4" s="1" customFormat="1" ht="19.75" customHeight="1" x14ac:dyDescent="0.25">
      <c r="A1221" s="9">
        <f>2012</f>
        <v>2012</v>
      </c>
      <c r="B1221" s="4" t="s">
        <v>69</v>
      </c>
      <c r="C1221" s="2">
        <v>7813.3208000000004</v>
      </c>
      <c r="D1221" s="14">
        <v>2186.9974000000002</v>
      </c>
    </row>
    <row r="1222" spans="1:4" s="1" customFormat="1" ht="19.75" customHeight="1" x14ac:dyDescent="0.25">
      <c r="A1222" s="9">
        <f>2012</f>
        <v>2012</v>
      </c>
      <c r="B1222" s="4" t="s">
        <v>68</v>
      </c>
      <c r="C1222" s="5">
        <v>12872.9396</v>
      </c>
      <c r="D1222" s="13">
        <v>3163.0695000000001</v>
      </c>
    </row>
    <row r="1223" spans="1:4" s="1" customFormat="1" ht="19.75" customHeight="1" x14ac:dyDescent="0.25">
      <c r="A1223" s="9">
        <f>2012</f>
        <v>2012</v>
      </c>
      <c r="B1223" s="4" t="s">
        <v>67</v>
      </c>
      <c r="C1223" s="2">
        <v>11599.0934</v>
      </c>
      <c r="D1223" s="14">
        <v>2315.4587000000001</v>
      </c>
    </row>
    <row r="1224" spans="1:4" s="1" customFormat="1" ht="19.75" customHeight="1" x14ac:dyDescent="0.25">
      <c r="A1224" s="9">
        <f>2012</f>
        <v>2012</v>
      </c>
      <c r="B1224" s="4" t="s">
        <v>66</v>
      </c>
      <c r="C1224" s="5">
        <v>4973.4403000000002</v>
      </c>
      <c r="D1224" s="13">
        <v>1158.5273999999999</v>
      </c>
    </row>
    <row r="1225" spans="1:4" s="1" customFormat="1" ht="19.75" customHeight="1" x14ac:dyDescent="0.25">
      <c r="A1225" s="9">
        <f>2012</f>
        <v>2012</v>
      </c>
      <c r="B1225" s="4" t="s">
        <v>65</v>
      </c>
      <c r="C1225" s="2">
        <v>23061.690699999999</v>
      </c>
      <c r="D1225" s="14">
        <v>7002.7511000000004</v>
      </c>
    </row>
    <row r="1226" spans="1:4" s="1" customFormat="1" ht="19.75" customHeight="1" x14ac:dyDescent="0.25">
      <c r="A1226" s="9">
        <f>2012</f>
        <v>2012</v>
      </c>
      <c r="B1226" s="4" t="s">
        <v>64</v>
      </c>
      <c r="C1226" s="5">
        <v>10183.317300000001</v>
      </c>
      <c r="D1226" s="13">
        <v>2814.1178</v>
      </c>
    </row>
    <row r="1227" spans="1:4" s="1" customFormat="1" ht="19.75" customHeight="1" x14ac:dyDescent="0.25">
      <c r="A1227" s="9">
        <f>2012</f>
        <v>2012</v>
      </c>
      <c r="B1227" s="4" t="s">
        <v>63</v>
      </c>
      <c r="C1227" s="2">
        <v>10730.2703</v>
      </c>
      <c r="D1227" s="14">
        <v>2056.2348000000002</v>
      </c>
    </row>
    <row r="1228" spans="1:4" s="1" customFormat="1" ht="19.75" customHeight="1" x14ac:dyDescent="0.25">
      <c r="A1228" s="9">
        <f>2012</f>
        <v>2012</v>
      </c>
      <c r="B1228" s="4" t="s">
        <v>62</v>
      </c>
      <c r="C1228" s="5">
        <v>14235.3856</v>
      </c>
      <c r="D1228" s="13">
        <v>3987.5173</v>
      </c>
    </row>
    <row r="1229" spans="1:4" s="1" customFormat="1" ht="19.75" customHeight="1" x14ac:dyDescent="0.25">
      <c r="A1229" s="9">
        <f>2012</f>
        <v>2012</v>
      </c>
      <c r="B1229" s="4" t="s">
        <v>61</v>
      </c>
      <c r="C1229" s="2">
        <v>5481.8558999999996</v>
      </c>
      <c r="D1229" s="14">
        <v>1383.2973999999999</v>
      </c>
    </row>
    <row r="1230" spans="1:4" s="1" customFormat="1" ht="19.75" customHeight="1" x14ac:dyDescent="0.25">
      <c r="A1230" s="9">
        <f>2012</f>
        <v>2012</v>
      </c>
      <c r="B1230" s="4" t="s">
        <v>60</v>
      </c>
      <c r="C1230" s="5">
        <v>6084.5911999999998</v>
      </c>
      <c r="D1230" s="13">
        <v>1201.3610000000001</v>
      </c>
    </row>
    <row r="1231" spans="1:4" s="1" customFormat="1" ht="19.75" customHeight="1" x14ac:dyDescent="0.25">
      <c r="A1231" s="9">
        <f>2012</f>
        <v>2012</v>
      </c>
      <c r="B1231" s="4" t="s">
        <v>59</v>
      </c>
      <c r="C1231" s="2">
        <v>13976.902400000001</v>
      </c>
      <c r="D1231" s="14">
        <v>6007.0995000000003</v>
      </c>
    </row>
    <row r="1232" spans="1:4" s="1" customFormat="1" ht="19.75" customHeight="1" x14ac:dyDescent="0.25">
      <c r="A1232" s="9">
        <f>2012</f>
        <v>2012</v>
      </c>
      <c r="B1232" s="4" t="s">
        <v>54</v>
      </c>
      <c r="C1232" s="5">
        <v>1197.0228999999999</v>
      </c>
      <c r="D1232" s="13">
        <v>279.83229999999998</v>
      </c>
    </row>
    <row r="1233" spans="1:4" s="1" customFormat="1" ht="19.75" customHeight="1" x14ac:dyDescent="0.25">
      <c r="A1233" s="9">
        <f>2012</f>
        <v>2012</v>
      </c>
      <c r="B1233" s="4" t="s">
        <v>53</v>
      </c>
      <c r="C1233" s="2">
        <v>768.60839999999996</v>
      </c>
      <c r="D1233" s="14">
        <v>298.76600000000002</v>
      </c>
    </row>
    <row r="1234" spans="1:4" s="1" customFormat="1" ht="19.75" customHeight="1" x14ac:dyDescent="0.25">
      <c r="A1234" s="9">
        <f>2012</f>
        <v>2012</v>
      </c>
      <c r="B1234" s="4" t="s">
        <v>52</v>
      </c>
      <c r="C1234" s="5">
        <v>489.26830000000001</v>
      </c>
      <c r="D1234" s="13">
        <v>244.2527</v>
      </c>
    </row>
    <row r="1235" spans="1:4" s="1" customFormat="1" ht="19.75" customHeight="1" x14ac:dyDescent="0.25">
      <c r="A1235" s="9">
        <f>2012</f>
        <v>2012</v>
      </c>
      <c r="B1235" s="4" t="s">
        <v>51</v>
      </c>
      <c r="C1235" s="2">
        <v>1146.1343999999999</v>
      </c>
      <c r="D1235" s="14">
        <v>488.96030000000002</v>
      </c>
    </row>
    <row r="1236" spans="1:4" s="1" customFormat="1" ht="19.75" customHeight="1" x14ac:dyDescent="0.25">
      <c r="A1236" s="9">
        <f>2012</f>
        <v>2012</v>
      </c>
      <c r="B1236" s="4" t="s">
        <v>50</v>
      </c>
      <c r="C1236" s="5">
        <v>3604.9850999999999</v>
      </c>
      <c r="D1236" s="13">
        <v>979.2731</v>
      </c>
    </row>
    <row r="1237" spans="1:4" s="1" customFormat="1" ht="19.75" customHeight="1" x14ac:dyDescent="0.25">
      <c r="A1237" s="9">
        <f>2012</f>
        <v>2012</v>
      </c>
      <c r="B1237" s="4" t="s">
        <v>48</v>
      </c>
      <c r="C1237" s="2">
        <v>14989.578</v>
      </c>
      <c r="D1237" s="14">
        <v>9277.6402999999991</v>
      </c>
    </row>
    <row r="1238" spans="1:4" s="1" customFormat="1" ht="19.75" customHeight="1" x14ac:dyDescent="0.25">
      <c r="A1238" s="9">
        <f>2012</f>
        <v>2012</v>
      </c>
      <c r="B1238" s="4" t="s">
        <v>47</v>
      </c>
      <c r="C1238" s="5">
        <v>22808.4964</v>
      </c>
      <c r="D1238" s="13">
        <v>7850.4432999999999</v>
      </c>
    </row>
    <row r="1239" spans="1:4" s="1" customFormat="1" ht="19.75" customHeight="1" x14ac:dyDescent="0.25">
      <c r="A1239" s="9">
        <f>2012</f>
        <v>2012</v>
      </c>
      <c r="B1239" s="4" t="s">
        <v>46</v>
      </c>
      <c r="C1239" s="2">
        <v>3654.9484000000002</v>
      </c>
      <c r="D1239" s="14">
        <v>1342.9956</v>
      </c>
    </row>
    <row r="1240" spans="1:4" s="1" customFormat="1" ht="19.75" customHeight="1" x14ac:dyDescent="0.25">
      <c r="A1240" s="9">
        <f>2012</f>
        <v>2012</v>
      </c>
      <c r="B1240" s="4" t="s">
        <v>45</v>
      </c>
      <c r="C1240" s="5">
        <v>2648.4575</v>
      </c>
      <c r="D1240" s="13">
        <v>1110.2083</v>
      </c>
    </row>
    <row r="1241" spans="1:4" s="1" customFormat="1" ht="19.75" customHeight="1" x14ac:dyDescent="0.25">
      <c r="A1241" s="9">
        <f>2012</f>
        <v>2012</v>
      </c>
      <c r="B1241" s="4" t="s">
        <v>44</v>
      </c>
      <c r="C1241" s="2">
        <v>2997.2224000000001</v>
      </c>
      <c r="D1241" s="14">
        <v>802.15189999999996</v>
      </c>
    </row>
    <row r="1242" spans="1:4" s="1" customFormat="1" ht="19.75" customHeight="1" x14ac:dyDescent="0.25">
      <c r="A1242" s="9">
        <f>2012</f>
        <v>2012</v>
      </c>
      <c r="B1242" s="4" t="s">
        <v>43</v>
      </c>
      <c r="C1242" s="5">
        <v>2368.8742000000002</v>
      </c>
      <c r="D1242" s="13">
        <v>568.18560000000002</v>
      </c>
    </row>
    <row r="1243" spans="1:4" s="1" customFormat="1" ht="19.75" customHeight="1" x14ac:dyDescent="0.25">
      <c r="A1243" s="9">
        <f>2012</f>
        <v>2012</v>
      </c>
      <c r="B1243" s="4" t="s">
        <v>42</v>
      </c>
      <c r="C1243" s="2">
        <v>2353.2460999999998</v>
      </c>
      <c r="D1243" s="14">
        <v>541.56380000000001</v>
      </c>
    </row>
    <row r="1244" spans="1:4" s="1" customFormat="1" ht="19.75" customHeight="1" x14ac:dyDescent="0.25">
      <c r="A1244" s="9">
        <f>2012</f>
        <v>2012</v>
      </c>
      <c r="B1244" s="4" t="s">
        <v>41</v>
      </c>
      <c r="C1244" s="5">
        <v>3667.7460000000001</v>
      </c>
      <c r="D1244" s="13">
        <v>1834.8299</v>
      </c>
    </row>
    <row r="1245" spans="1:4" s="1" customFormat="1" ht="19.75" customHeight="1" x14ac:dyDescent="0.25">
      <c r="A1245" s="9">
        <f>2012</f>
        <v>2012</v>
      </c>
      <c r="B1245" s="4" t="s">
        <v>40</v>
      </c>
      <c r="C1245" s="2">
        <v>1148.0326</v>
      </c>
      <c r="D1245" s="14">
        <v>293.71080000000001</v>
      </c>
    </row>
    <row r="1246" spans="1:4" s="1" customFormat="1" ht="19.75" customHeight="1" x14ac:dyDescent="0.25">
      <c r="A1246" s="9">
        <f>2012</f>
        <v>2012</v>
      </c>
      <c r="B1246" s="4" t="s">
        <v>38</v>
      </c>
      <c r="C1246" s="5">
        <v>201.08279999999999</v>
      </c>
      <c r="D1246" s="13">
        <v>72.268199999999993</v>
      </c>
    </row>
    <row r="1247" spans="1:4" s="1" customFormat="1" ht="19.75" customHeight="1" x14ac:dyDescent="0.25">
      <c r="A1247" s="9">
        <f>2012</f>
        <v>2012</v>
      </c>
      <c r="B1247" s="4" t="s">
        <v>37</v>
      </c>
      <c r="C1247" s="2">
        <v>278.2912</v>
      </c>
      <c r="D1247" s="14">
        <v>139.0967</v>
      </c>
    </row>
    <row r="1248" spans="1:4" s="1" customFormat="1" ht="19.75" customHeight="1" x14ac:dyDescent="0.25">
      <c r="A1248" s="9">
        <f>2012</f>
        <v>2012</v>
      </c>
      <c r="B1248" s="4" t="s">
        <v>34</v>
      </c>
      <c r="C1248" s="5">
        <v>2561.6857</v>
      </c>
      <c r="D1248" s="13">
        <v>617.2921</v>
      </c>
    </row>
    <row r="1249" spans="1:4" s="1" customFormat="1" ht="19.75" customHeight="1" x14ac:dyDescent="0.25">
      <c r="A1249" s="9">
        <f>2012</f>
        <v>2012</v>
      </c>
      <c r="B1249" s="4" t="s">
        <v>33</v>
      </c>
      <c r="C1249" s="2">
        <v>1232.0189</v>
      </c>
      <c r="D1249" s="14">
        <v>349.0412</v>
      </c>
    </row>
    <row r="1250" spans="1:4" s="1" customFormat="1" ht="19.75" customHeight="1" x14ac:dyDescent="0.25">
      <c r="A1250" s="9">
        <f>2012</f>
        <v>2012</v>
      </c>
      <c r="B1250" s="4" t="s">
        <v>31</v>
      </c>
      <c r="C1250" s="5">
        <v>4691.7212</v>
      </c>
      <c r="D1250" s="13">
        <v>932.53430000000003</v>
      </c>
    </row>
    <row r="1251" spans="1:4" s="1" customFormat="1" ht="19.75" customHeight="1" x14ac:dyDescent="0.25">
      <c r="A1251" s="9">
        <f>2012</f>
        <v>2012</v>
      </c>
      <c r="B1251" s="4" t="s">
        <v>30</v>
      </c>
      <c r="C1251" s="2">
        <v>0.55159999999999998</v>
      </c>
      <c r="D1251" s="14">
        <v>9.3981999999999992</v>
      </c>
    </row>
    <row r="1252" spans="1:4" s="1" customFormat="1" ht="19.75" customHeight="1" x14ac:dyDescent="0.25">
      <c r="A1252" s="9">
        <f>2012</f>
        <v>2012</v>
      </c>
      <c r="B1252" s="4" t="s">
        <v>29</v>
      </c>
      <c r="C1252" s="5">
        <v>40.275700000000001</v>
      </c>
      <c r="D1252" s="13">
        <v>17.569900000000001</v>
      </c>
    </row>
    <row r="1253" spans="1:4" s="1" customFormat="1" ht="19.75" customHeight="1" x14ac:dyDescent="0.25">
      <c r="A1253" s="9">
        <f>2012</f>
        <v>2012</v>
      </c>
      <c r="B1253" s="4" t="s">
        <v>91</v>
      </c>
      <c r="C1253" s="2">
        <v>80.666600000000003</v>
      </c>
      <c r="D1253" s="14">
        <v>482.50330000000002</v>
      </c>
    </row>
    <row r="1254" spans="1:4" s="1" customFormat="1" ht="19.75" customHeight="1" x14ac:dyDescent="0.25">
      <c r="A1254" s="9">
        <f>2012</f>
        <v>2012</v>
      </c>
      <c r="B1254" s="4" t="s">
        <v>103</v>
      </c>
      <c r="C1254" s="5">
        <v>40.535299999999999</v>
      </c>
      <c r="D1254" s="13">
        <v>110.5894</v>
      </c>
    </row>
    <row r="1255" spans="1:4" s="1" customFormat="1" ht="19.75" customHeight="1" x14ac:dyDescent="0.25">
      <c r="A1255" s="9">
        <f>2012</f>
        <v>2012</v>
      </c>
      <c r="B1255" s="4" t="s">
        <v>27</v>
      </c>
      <c r="C1255" s="2">
        <v>423.88459999999998</v>
      </c>
      <c r="D1255" s="14">
        <v>405.49979999999999</v>
      </c>
    </row>
    <row r="1256" spans="1:4" s="1" customFormat="1" ht="19.75" customHeight="1" x14ac:dyDescent="0.25">
      <c r="A1256" s="9">
        <f>2012</f>
        <v>2012</v>
      </c>
      <c r="B1256" s="4" t="s">
        <v>26</v>
      </c>
      <c r="C1256" s="5">
        <v>28.875699999999998</v>
      </c>
      <c r="D1256" s="13">
        <v>18.578600000000002</v>
      </c>
    </row>
    <row r="1257" spans="1:4" s="1" customFormat="1" ht="19.75" customHeight="1" x14ac:dyDescent="0.25">
      <c r="A1257" s="9">
        <f>2012</f>
        <v>2012</v>
      </c>
      <c r="B1257" s="4" t="s">
        <v>25</v>
      </c>
      <c r="C1257" s="2">
        <v>4.4073000000000002</v>
      </c>
      <c r="D1257" s="14">
        <v>4.0393999999999997</v>
      </c>
    </row>
    <row r="1258" spans="1:4" s="1" customFormat="1" ht="19.75" customHeight="1" x14ac:dyDescent="0.25">
      <c r="A1258" s="9">
        <f>2012</f>
        <v>2012</v>
      </c>
      <c r="B1258" s="4" t="s">
        <v>24</v>
      </c>
      <c r="C1258" s="5">
        <v>375.6825</v>
      </c>
      <c r="D1258" s="13">
        <v>78.031700000000001</v>
      </c>
    </row>
    <row r="1259" spans="1:4" s="1" customFormat="1" ht="19.75" customHeight="1" x14ac:dyDescent="0.25">
      <c r="A1259" s="9">
        <f>2012</f>
        <v>2012</v>
      </c>
      <c r="B1259" s="4" t="s">
        <v>23</v>
      </c>
      <c r="C1259" s="2">
        <v>619.01409999999998</v>
      </c>
      <c r="D1259" s="14">
        <v>533.01319999999998</v>
      </c>
    </row>
    <row r="1260" spans="1:4" s="1" customFormat="1" ht="19.75" customHeight="1" x14ac:dyDescent="0.25">
      <c r="A1260" s="9">
        <f>2012</f>
        <v>2012</v>
      </c>
      <c r="B1260" s="4" t="s">
        <v>22</v>
      </c>
      <c r="C1260" s="5">
        <v>403.79509999999999</v>
      </c>
      <c r="D1260" s="13">
        <v>358.03469999999999</v>
      </c>
    </row>
    <row r="1261" spans="1:4" s="1" customFormat="1" ht="19.75" customHeight="1" x14ac:dyDescent="0.25">
      <c r="A1261" s="9">
        <f>2012</f>
        <v>2012</v>
      </c>
      <c r="B1261" s="4" t="s">
        <v>21</v>
      </c>
      <c r="C1261" s="2">
        <v>2887.46</v>
      </c>
      <c r="D1261" s="14">
        <v>2801.44</v>
      </c>
    </row>
    <row r="1262" spans="1:4" s="1" customFormat="1" ht="19.75" customHeight="1" x14ac:dyDescent="0.25">
      <c r="A1262" s="9">
        <f>2012</f>
        <v>2012</v>
      </c>
      <c r="B1262" s="4" t="s">
        <v>96</v>
      </c>
      <c r="C1262" s="5">
        <v>0.4778</v>
      </c>
      <c r="D1262" s="13">
        <v>26.779499999999999</v>
      </c>
    </row>
    <row r="1263" spans="1:4" s="1" customFormat="1" ht="19.75" customHeight="1" x14ac:dyDescent="0.25">
      <c r="A1263" s="9">
        <f>2012</f>
        <v>2012</v>
      </c>
      <c r="B1263" s="4" t="s">
        <v>102</v>
      </c>
      <c r="C1263" s="2">
        <v>6.9000000000000006E-2</v>
      </c>
      <c r="D1263" s="14">
        <v>35.1693</v>
      </c>
    </row>
    <row r="1264" spans="1:4" s="1" customFormat="1" ht="19.75" customHeight="1" x14ac:dyDescent="0.25">
      <c r="A1264" s="9">
        <f>2012</f>
        <v>2012</v>
      </c>
      <c r="B1264" s="4" t="s">
        <v>20</v>
      </c>
      <c r="C1264" s="5">
        <v>258.1413</v>
      </c>
      <c r="D1264" s="13">
        <v>103.01690000000001</v>
      </c>
    </row>
    <row r="1265" spans="1:4" s="1" customFormat="1" ht="19.75" customHeight="1" x14ac:dyDescent="0.25">
      <c r="A1265" s="9">
        <f>2012</f>
        <v>2012</v>
      </c>
      <c r="B1265" s="4" t="s">
        <v>101</v>
      </c>
      <c r="C1265" s="2">
        <v>8.8678000000000008</v>
      </c>
      <c r="D1265" s="14">
        <v>54.659700000000001</v>
      </c>
    </row>
    <row r="1266" spans="1:4" s="1" customFormat="1" ht="19.75" customHeight="1" x14ac:dyDescent="0.25">
      <c r="A1266" s="9">
        <f>2012</f>
        <v>2012</v>
      </c>
      <c r="B1266" s="4" t="s">
        <v>19</v>
      </c>
      <c r="C1266" s="5">
        <v>14.9215</v>
      </c>
      <c r="D1266" s="13">
        <v>14.6723</v>
      </c>
    </row>
    <row r="1267" spans="1:4" s="1" customFormat="1" ht="19.75" customHeight="1" x14ac:dyDescent="0.25">
      <c r="A1267" s="9">
        <f>2012</f>
        <v>2012</v>
      </c>
      <c r="B1267" s="4" t="s">
        <v>18</v>
      </c>
      <c r="C1267" s="2">
        <v>1044.9724000000001</v>
      </c>
      <c r="D1267" s="14">
        <v>412.06720000000001</v>
      </c>
    </row>
    <row r="1268" spans="1:4" s="1" customFormat="1" ht="19.75" customHeight="1" x14ac:dyDescent="0.25">
      <c r="A1268" s="9">
        <f>2012</f>
        <v>2012</v>
      </c>
      <c r="B1268" s="4" t="s">
        <v>17</v>
      </c>
      <c r="C1268" s="5">
        <v>589.76729999999998</v>
      </c>
      <c r="D1268" s="13">
        <v>1055.2140999999999</v>
      </c>
    </row>
    <row r="1269" spans="1:4" s="1" customFormat="1" ht="19.75" customHeight="1" x14ac:dyDescent="0.25">
      <c r="A1269" s="9">
        <f>2012</f>
        <v>2012</v>
      </c>
      <c r="B1269" s="4" t="s">
        <v>94</v>
      </c>
      <c r="C1269" s="2">
        <v>26.536999999999999</v>
      </c>
      <c r="D1269" s="14">
        <v>61.551900000000003</v>
      </c>
    </row>
    <row r="1270" spans="1:4" s="1" customFormat="1" ht="19.75" customHeight="1" x14ac:dyDescent="0.25">
      <c r="A1270" s="9">
        <f>2012</f>
        <v>2012</v>
      </c>
      <c r="B1270" s="4" t="s">
        <v>16</v>
      </c>
      <c r="C1270" s="5">
        <v>2516.8137000000002</v>
      </c>
      <c r="D1270" s="13">
        <v>2418.2963</v>
      </c>
    </row>
    <row r="1271" spans="1:4" s="1" customFormat="1" ht="19.75" customHeight="1" x14ac:dyDescent="0.25">
      <c r="A1271" s="9">
        <f>2012</f>
        <v>2012</v>
      </c>
      <c r="B1271" s="4" t="s">
        <v>15</v>
      </c>
      <c r="C1271" s="2">
        <v>9.4869000000000003</v>
      </c>
      <c r="D1271" s="14">
        <v>7.8765999999999998</v>
      </c>
    </row>
    <row r="1272" spans="1:4" s="1" customFormat="1" ht="19.75" customHeight="1" x14ac:dyDescent="0.25">
      <c r="A1272" s="9">
        <f>2012</f>
        <v>2012</v>
      </c>
      <c r="B1272" s="4" t="s">
        <v>100</v>
      </c>
      <c r="C1272" s="6"/>
      <c r="D1272" s="13">
        <v>10.0814</v>
      </c>
    </row>
    <row r="1273" spans="1:4" s="1" customFormat="1" ht="19.75" customHeight="1" x14ac:dyDescent="0.25">
      <c r="A1273" s="9">
        <f>2012</f>
        <v>2012</v>
      </c>
      <c r="B1273" s="4" t="s">
        <v>13</v>
      </c>
      <c r="C1273" s="2">
        <v>443.96260000000001</v>
      </c>
      <c r="D1273" s="14">
        <v>209.3306</v>
      </c>
    </row>
    <row r="1274" spans="1:4" s="1" customFormat="1" ht="19.75" customHeight="1" x14ac:dyDescent="0.25">
      <c r="A1274" s="9">
        <f>2012</f>
        <v>2012</v>
      </c>
      <c r="B1274" s="4" t="s">
        <v>90</v>
      </c>
      <c r="C1274" s="5">
        <v>0.1898</v>
      </c>
      <c r="D1274" s="13">
        <v>9.8013999999999992</v>
      </c>
    </row>
    <row r="1275" spans="1:4" s="1" customFormat="1" ht="19.75" customHeight="1" x14ac:dyDescent="0.25">
      <c r="A1275" s="9">
        <f>2012</f>
        <v>2012</v>
      </c>
      <c r="B1275" s="4" t="s">
        <v>88</v>
      </c>
      <c r="C1275" s="2">
        <v>19.795300000000001</v>
      </c>
      <c r="D1275" s="14">
        <v>14.0525</v>
      </c>
    </row>
    <row r="1276" spans="1:4" s="1" customFormat="1" ht="19.75" customHeight="1" x14ac:dyDescent="0.25">
      <c r="A1276" s="9">
        <f>2012</f>
        <v>2012</v>
      </c>
      <c r="B1276" s="4" t="s">
        <v>11</v>
      </c>
      <c r="C1276" s="5">
        <v>4.7568999999999999</v>
      </c>
      <c r="D1276" s="13">
        <v>3.4058000000000002</v>
      </c>
    </row>
    <row r="1277" spans="1:4" s="1" customFormat="1" ht="19.75" customHeight="1" x14ac:dyDescent="0.25">
      <c r="A1277" s="9">
        <f>2012</f>
        <v>2012</v>
      </c>
      <c r="B1277" s="4" t="s">
        <v>10</v>
      </c>
      <c r="C1277" s="2">
        <v>0.10150000000000001</v>
      </c>
      <c r="D1277" s="14">
        <v>11.5031</v>
      </c>
    </row>
    <row r="1278" spans="1:4" s="1" customFormat="1" ht="19.75" customHeight="1" x14ac:dyDescent="0.25">
      <c r="A1278" s="9">
        <f>2012</f>
        <v>2012</v>
      </c>
      <c r="B1278" s="4" t="s">
        <v>9</v>
      </c>
      <c r="C1278" s="5">
        <v>16.252300000000002</v>
      </c>
      <c r="D1278" s="13">
        <v>66.256600000000006</v>
      </c>
    </row>
    <row r="1279" spans="1:4" s="1" customFormat="1" ht="19.75" customHeight="1" x14ac:dyDescent="0.25">
      <c r="A1279" s="9">
        <f>2012</f>
        <v>2012</v>
      </c>
      <c r="B1279" s="4" t="s">
        <v>8</v>
      </c>
      <c r="C1279" s="2">
        <v>167.63140000000001</v>
      </c>
      <c r="D1279" s="14">
        <v>130.815</v>
      </c>
    </row>
    <row r="1280" spans="1:4" s="1" customFormat="1" ht="19.75" customHeight="1" x14ac:dyDescent="0.25">
      <c r="A1280" s="9">
        <f>2012</f>
        <v>2012</v>
      </c>
      <c r="B1280" s="4" t="s">
        <v>99</v>
      </c>
      <c r="C1280" s="6"/>
      <c r="D1280" s="13">
        <v>5.4211999999999998</v>
      </c>
    </row>
    <row r="1281" spans="1:4" s="1" customFormat="1" ht="19.75" customHeight="1" x14ac:dyDescent="0.25">
      <c r="A1281" s="9">
        <f>2012</f>
        <v>2012</v>
      </c>
      <c r="B1281" s="4" t="s">
        <v>7</v>
      </c>
      <c r="C1281" s="3"/>
      <c r="D1281" s="14">
        <v>2.2488999999999999</v>
      </c>
    </row>
    <row r="1282" spans="1:4" s="1" customFormat="1" ht="19.75" customHeight="1" x14ac:dyDescent="0.25">
      <c r="A1282" s="9">
        <f>2012</f>
        <v>2012</v>
      </c>
      <c r="B1282" s="4" t="s">
        <v>98</v>
      </c>
      <c r="C1282" s="6"/>
      <c r="D1282" s="13">
        <v>11.6858</v>
      </c>
    </row>
    <row r="1283" spans="1:4" s="1" customFormat="1" ht="19.75" customHeight="1" x14ac:dyDescent="0.25">
      <c r="A1283" s="9">
        <f>2012</f>
        <v>2012</v>
      </c>
      <c r="B1283" s="4" t="s">
        <v>6</v>
      </c>
      <c r="C1283" s="2">
        <v>85.007800000000003</v>
      </c>
      <c r="D1283" s="14">
        <v>16.781199999999998</v>
      </c>
    </row>
    <row r="1284" spans="1:4" s="1" customFormat="1" ht="19.75" customHeight="1" x14ac:dyDescent="0.25">
      <c r="A1284" s="9">
        <f>2012</f>
        <v>2012</v>
      </c>
      <c r="B1284" s="4" t="s">
        <v>5</v>
      </c>
      <c r="C1284" s="5">
        <v>62.464500000000001</v>
      </c>
      <c r="D1284" s="13">
        <v>23.3841</v>
      </c>
    </row>
    <row r="1285" spans="1:4" s="1" customFormat="1" ht="19.75" customHeight="1" x14ac:dyDescent="0.25">
      <c r="A1285" s="9">
        <f>2012</f>
        <v>2012</v>
      </c>
      <c r="B1285" s="4" t="s">
        <v>4</v>
      </c>
      <c r="C1285" s="2">
        <v>126.1448</v>
      </c>
      <c r="D1285" s="14">
        <v>51.166899999999998</v>
      </c>
    </row>
    <row r="1286" spans="1:4" s="1" customFormat="1" ht="19.75" customHeight="1" x14ac:dyDescent="0.25">
      <c r="A1286" s="9">
        <f>2012</f>
        <v>2012</v>
      </c>
      <c r="B1286" s="4" t="s">
        <v>3</v>
      </c>
      <c r="C1286" s="5">
        <v>0.84789999999999999</v>
      </c>
      <c r="D1286" s="13">
        <v>4.9522000000000004</v>
      </c>
    </row>
    <row r="1287" spans="1:4" s="1" customFormat="1" ht="19.75" customHeight="1" x14ac:dyDescent="0.25">
      <c r="A1287" s="9">
        <f>2012</f>
        <v>2012</v>
      </c>
      <c r="B1287" s="4" t="s">
        <v>2</v>
      </c>
      <c r="C1287" s="2">
        <v>3690.3672000000001</v>
      </c>
      <c r="D1287" s="14">
        <v>2740.8195999999998</v>
      </c>
    </row>
    <row r="1288" spans="1:4" s="1" customFormat="1" ht="19.75" customHeight="1" x14ac:dyDescent="0.25">
      <c r="A1288" s="9">
        <f>2012</f>
        <v>2012</v>
      </c>
      <c r="B1288" s="4" t="s">
        <v>93</v>
      </c>
      <c r="C1288" s="5">
        <v>865.82180000000005</v>
      </c>
      <c r="D1288" s="13">
        <v>903.32539999999995</v>
      </c>
    </row>
    <row r="1289" spans="1:4" s="1" customFormat="1" ht="19.75" customHeight="1" x14ac:dyDescent="0.25">
      <c r="A1289" s="9">
        <f>2012</f>
        <v>2012</v>
      </c>
      <c r="B1289" s="4" t="s">
        <v>89</v>
      </c>
      <c r="C1289" s="2">
        <v>123.8869</v>
      </c>
      <c r="D1289" s="14">
        <v>102.52290000000001</v>
      </c>
    </row>
    <row r="1290" spans="1:4" s="1" customFormat="1" ht="19.75" customHeight="1" x14ac:dyDescent="0.25">
      <c r="A1290" s="9">
        <f>2012</f>
        <v>2012</v>
      </c>
      <c r="B1290" s="4" t="s">
        <v>95</v>
      </c>
      <c r="C1290" s="6"/>
      <c r="D1290" s="13">
        <v>8.4913000000000007</v>
      </c>
    </row>
    <row r="1291" spans="1:4" s="1" customFormat="1" ht="19.75" customHeight="1" x14ac:dyDescent="0.25">
      <c r="A1291" s="9">
        <f>2012</f>
        <v>2012</v>
      </c>
      <c r="B1291" s="4" t="s">
        <v>97</v>
      </c>
      <c r="C1291" s="3"/>
      <c r="D1291" s="14">
        <v>2.6307</v>
      </c>
    </row>
    <row r="1292" spans="1:4" s="1" customFormat="1" ht="19.75" customHeight="1" x14ac:dyDescent="0.25">
      <c r="A1292" s="9">
        <f>2011</f>
        <v>2011</v>
      </c>
      <c r="B1292" s="4" t="s">
        <v>87</v>
      </c>
      <c r="C1292" s="5">
        <v>3026.7586999999999</v>
      </c>
      <c r="D1292" s="13">
        <v>1269.1688999999999</v>
      </c>
    </row>
    <row r="1293" spans="1:4" s="1" customFormat="1" ht="19.75" customHeight="1" x14ac:dyDescent="0.25">
      <c r="A1293" s="9">
        <f>2011</f>
        <v>2011</v>
      </c>
      <c r="B1293" s="4" t="s">
        <v>86</v>
      </c>
      <c r="C1293" s="2">
        <v>5002.7821000000004</v>
      </c>
      <c r="D1293" s="14">
        <v>1512.7909</v>
      </c>
    </row>
    <row r="1294" spans="1:4" s="1" customFormat="1" ht="19.75" customHeight="1" x14ac:dyDescent="0.25">
      <c r="A1294" s="9">
        <f>2011</f>
        <v>2011</v>
      </c>
      <c r="B1294" s="4" t="s">
        <v>85</v>
      </c>
      <c r="C1294" s="5">
        <v>48867.956100000003</v>
      </c>
      <c r="D1294" s="13">
        <v>23015.4326</v>
      </c>
    </row>
    <row r="1295" spans="1:4" s="1" customFormat="1" ht="19.75" customHeight="1" x14ac:dyDescent="0.25">
      <c r="A1295" s="9">
        <f>2011</f>
        <v>2011</v>
      </c>
      <c r="B1295" s="4" t="s">
        <v>83</v>
      </c>
      <c r="C1295" s="2">
        <v>2443.0758999999998</v>
      </c>
      <c r="D1295" s="14">
        <v>917.43129999999996</v>
      </c>
    </row>
    <row r="1296" spans="1:4" s="1" customFormat="1" ht="19.75" customHeight="1" x14ac:dyDescent="0.25">
      <c r="A1296" s="9">
        <f>2011</f>
        <v>2011</v>
      </c>
      <c r="B1296" s="4" t="s">
        <v>82</v>
      </c>
      <c r="C1296" s="5">
        <v>4144.6271999999999</v>
      </c>
      <c r="D1296" s="13">
        <v>1329.779</v>
      </c>
    </row>
    <row r="1297" spans="1:4" s="1" customFormat="1" ht="19.75" customHeight="1" x14ac:dyDescent="0.25">
      <c r="A1297" s="9">
        <f>2011</f>
        <v>2011</v>
      </c>
      <c r="B1297" s="4" t="s">
        <v>80</v>
      </c>
      <c r="C1297" s="2">
        <v>3532.7294999999999</v>
      </c>
      <c r="D1297" s="14">
        <v>1101.3056999999999</v>
      </c>
    </row>
    <row r="1298" spans="1:4" s="1" customFormat="1" ht="19.75" customHeight="1" x14ac:dyDescent="0.25">
      <c r="A1298" s="9">
        <f>2011</f>
        <v>2011</v>
      </c>
      <c r="B1298" s="4" t="s">
        <v>79</v>
      </c>
      <c r="C1298" s="5">
        <v>6992.2241999999997</v>
      </c>
      <c r="D1298" s="13">
        <v>2338.3020999999999</v>
      </c>
    </row>
    <row r="1299" spans="1:4" s="1" customFormat="1" ht="19.75" customHeight="1" x14ac:dyDescent="0.25">
      <c r="A1299" s="9">
        <f>2011</f>
        <v>2011</v>
      </c>
      <c r="B1299" s="4" t="s">
        <v>78</v>
      </c>
      <c r="C1299" s="2">
        <v>5070.3073999999997</v>
      </c>
      <c r="D1299" s="14">
        <v>1704.864</v>
      </c>
    </row>
    <row r="1300" spans="1:4" s="1" customFormat="1" ht="19.75" customHeight="1" x14ac:dyDescent="0.25">
      <c r="A1300" s="9">
        <f>2011</f>
        <v>2011</v>
      </c>
      <c r="B1300" s="4" t="s">
        <v>77</v>
      </c>
      <c r="C1300" s="5">
        <v>13083.6577</v>
      </c>
      <c r="D1300" s="13">
        <v>4629.8348999999998</v>
      </c>
    </row>
    <row r="1301" spans="1:4" s="1" customFormat="1" ht="19.75" customHeight="1" x14ac:dyDescent="0.25">
      <c r="A1301" s="9">
        <f>2011</f>
        <v>2011</v>
      </c>
      <c r="B1301" s="4" t="s">
        <v>76</v>
      </c>
      <c r="C1301" s="2">
        <v>13941.032300000001</v>
      </c>
      <c r="D1301" s="14">
        <v>5068.2386999999999</v>
      </c>
    </row>
    <row r="1302" spans="1:4" s="1" customFormat="1" ht="19.75" customHeight="1" x14ac:dyDescent="0.25">
      <c r="A1302" s="9">
        <f>2011</f>
        <v>2011</v>
      </c>
      <c r="B1302" s="4" t="s">
        <v>75</v>
      </c>
      <c r="C1302" s="5">
        <v>3594.6889000000001</v>
      </c>
      <c r="D1302" s="13">
        <v>1644.2239</v>
      </c>
    </row>
    <row r="1303" spans="1:4" s="1" customFormat="1" ht="19.75" customHeight="1" x14ac:dyDescent="0.25">
      <c r="A1303" s="9">
        <f>2011</f>
        <v>2011</v>
      </c>
      <c r="B1303" s="4" t="s">
        <v>74</v>
      </c>
      <c r="C1303" s="2">
        <v>15240.735699999999</v>
      </c>
      <c r="D1303" s="14">
        <v>4419.3155999999999</v>
      </c>
    </row>
    <row r="1304" spans="1:4" s="1" customFormat="1" ht="19.75" customHeight="1" x14ac:dyDescent="0.25">
      <c r="A1304" s="9">
        <f>2011</f>
        <v>2011</v>
      </c>
      <c r="B1304" s="4" t="s">
        <v>73</v>
      </c>
      <c r="C1304" s="5">
        <v>9895.2286999999997</v>
      </c>
      <c r="D1304" s="13">
        <v>3998.9883</v>
      </c>
    </row>
    <row r="1305" spans="1:4" s="1" customFormat="1" ht="19.75" customHeight="1" x14ac:dyDescent="0.25">
      <c r="A1305" s="9">
        <f>2011</f>
        <v>2011</v>
      </c>
      <c r="B1305" s="4" t="s">
        <v>72</v>
      </c>
      <c r="C1305" s="2">
        <v>6195.5052999999998</v>
      </c>
      <c r="D1305" s="14">
        <v>1641.7099000000001</v>
      </c>
    </row>
    <row r="1306" spans="1:4" s="1" customFormat="1" ht="19.75" customHeight="1" x14ac:dyDescent="0.25">
      <c r="A1306" s="9">
        <f>2011</f>
        <v>2011</v>
      </c>
      <c r="B1306" s="4" t="s">
        <v>71</v>
      </c>
      <c r="C1306" s="5">
        <v>3270.1641</v>
      </c>
      <c r="D1306" s="13">
        <v>1073.4161999999999</v>
      </c>
    </row>
    <row r="1307" spans="1:4" s="1" customFormat="1" ht="19.75" customHeight="1" x14ac:dyDescent="0.25">
      <c r="A1307" s="9">
        <f>2011</f>
        <v>2011</v>
      </c>
      <c r="B1307" s="4" t="s">
        <v>92</v>
      </c>
      <c r="C1307" s="2">
        <v>14271.9265</v>
      </c>
      <c r="D1307" s="14">
        <v>2254.6934000000001</v>
      </c>
    </row>
    <row r="1308" spans="1:4" s="1" customFormat="1" ht="19.75" customHeight="1" x14ac:dyDescent="0.25">
      <c r="A1308" s="9">
        <f>2011</f>
        <v>2011</v>
      </c>
      <c r="B1308" s="4" t="s">
        <v>69</v>
      </c>
      <c r="C1308" s="5">
        <v>5324.9157999999998</v>
      </c>
      <c r="D1308" s="13">
        <v>1926.3163999999999</v>
      </c>
    </row>
    <row r="1309" spans="1:4" s="1" customFormat="1" ht="19.75" customHeight="1" x14ac:dyDescent="0.25">
      <c r="A1309" s="9">
        <f>2011</f>
        <v>2011</v>
      </c>
      <c r="B1309" s="4" t="s">
        <v>68</v>
      </c>
      <c r="C1309" s="2">
        <v>7893.4395000000004</v>
      </c>
      <c r="D1309" s="14">
        <v>2572.4949000000001</v>
      </c>
    </row>
    <row r="1310" spans="1:4" s="1" customFormat="1" ht="19.75" customHeight="1" x14ac:dyDescent="0.25">
      <c r="A1310" s="9">
        <f>2011</f>
        <v>2011</v>
      </c>
      <c r="B1310" s="4" t="s">
        <v>67</v>
      </c>
      <c r="C1310" s="5">
        <v>7910.2649000000001</v>
      </c>
      <c r="D1310" s="13">
        <v>1892.4813999999999</v>
      </c>
    </row>
    <row r="1311" spans="1:4" s="1" customFormat="1" ht="19.75" customHeight="1" x14ac:dyDescent="0.25">
      <c r="A1311" s="9">
        <f>2011</f>
        <v>2011</v>
      </c>
      <c r="B1311" s="4" t="s">
        <v>66</v>
      </c>
      <c r="C1311" s="2">
        <v>3372.0601999999999</v>
      </c>
      <c r="D1311" s="14">
        <v>984.03629999999998</v>
      </c>
    </row>
    <row r="1312" spans="1:4" s="1" customFormat="1" ht="19.75" customHeight="1" x14ac:dyDescent="0.25">
      <c r="A1312" s="9">
        <f>2011</f>
        <v>2011</v>
      </c>
      <c r="B1312" s="4" t="s">
        <v>65</v>
      </c>
      <c r="C1312" s="5">
        <v>15179.1441</v>
      </c>
      <c r="D1312" s="13">
        <v>6364.2241999999997</v>
      </c>
    </row>
    <row r="1313" spans="1:4" s="1" customFormat="1" ht="19.75" customHeight="1" x14ac:dyDescent="0.25">
      <c r="A1313" s="9">
        <f>2011</f>
        <v>2011</v>
      </c>
      <c r="B1313" s="4" t="s">
        <v>64</v>
      </c>
      <c r="C1313" s="2">
        <v>7068.0960999999998</v>
      </c>
      <c r="D1313" s="14">
        <v>2548.1019999999999</v>
      </c>
    </row>
    <row r="1314" spans="1:4" s="1" customFormat="1" ht="19.75" customHeight="1" x14ac:dyDescent="0.25">
      <c r="A1314" s="9">
        <f>2011</f>
        <v>2011</v>
      </c>
      <c r="B1314" s="4" t="s">
        <v>63</v>
      </c>
      <c r="C1314" s="5">
        <v>7525.8858</v>
      </c>
      <c r="D1314" s="13">
        <v>2075.3667</v>
      </c>
    </row>
    <row r="1315" spans="1:4" s="1" customFormat="1" ht="19.75" customHeight="1" x14ac:dyDescent="0.25">
      <c r="A1315" s="9">
        <f>2011</f>
        <v>2011</v>
      </c>
      <c r="B1315" s="4" t="s">
        <v>62</v>
      </c>
      <c r="C1315" s="2">
        <v>10236.417100000001</v>
      </c>
      <c r="D1315" s="14">
        <v>3949.9971</v>
      </c>
    </row>
    <row r="1316" spans="1:4" s="1" customFormat="1" ht="19.75" customHeight="1" x14ac:dyDescent="0.25">
      <c r="A1316" s="9">
        <f>2011</f>
        <v>2011</v>
      </c>
      <c r="B1316" s="4" t="s">
        <v>61</v>
      </c>
      <c r="C1316" s="5">
        <v>4172.1127999999999</v>
      </c>
      <c r="D1316" s="13">
        <v>1299.4054000000001</v>
      </c>
    </row>
    <row r="1317" spans="1:4" s="1" customFormat="1" ht="19.75" customHeight="1" x14ac:dyDescent="0.25">
      <c r="A1317" s="9">
        <f>2011</f>
        <v>2011</v>
      </c>
      <c r="B1317" s="4" t="s">
        <v>60</v>
      </c>
      <c r="C1317" s="2">
        <v>3897.2837</v>
      </c>
      <c r="D1317" s="14">
        <v>1433.2823000000001</v>
      </c>
    </row>
    <row r="1318" spans="1:4" s="1" customFormat="1" ht="19.75" customHeight="1" x14ac:dyDescent="0.25">
      <c r="A1318" s="9">
        <f>2011</f>
        <v>2011</v>
      </c>
      <c r="B1318" s="4" t="s">
        <v>59</v>
      </c>
      <c r="C1318" s="5">
        <v>8591.8230000000003</v>
      </c>
      <c r="D1318" s="13">
        <v>4779.4281000000001</v>
      </c>
    </row>
    <row r="1319" spans="1:4" s="1" customFormat="1" ht="19.75" customHeight="1" x14ac:dyDescent="0.25">
      <c r="A1319" s="9">
        <f>2011</f>
        <v>2011</v>
      </c>
      <c r="B1319" s="4" t="s">
        <v>54</v>
      </c>
      <c r="C1319" s="2">
        <v>798.37919999999997</v>
      </c>
      <c r="D1319" s="14">
        <v>216.4008</v>
      </c>
    </row>
    <row r="1320" spans="1:4" s="1" customFormat="1" ht="19.75" customHeight="1" x14ac:dyDescent="0.25">
      <c r="A1320" s="9">
        <f>2011</f>
        <v>2011</v>
      </c>
      <c r="B1320" s="4" t="s">
        <v>53</v>
      </c>
      <c r="C1320" s="5">
        <v>513.97900000000004</v>
      </c>
      <c r="D1320" s="13">
        <v>289.04349999999999</v>
      </c>
    </row>
    <row r="1321" spans="1:4" s="1" customFormat="1" ht="19.75" customHeight="1" x14ac:dyDescent="0.25">
      <c r="A1321" s="9">
        <f>2011</f>
        <v>2011</v>
      </c>
      <c r="B1321" s="4" t="s">
        <v>52</v>
      </c>
      <c r="C1321" s="2">
        <v>347.1241</v>
      </c>
      <c r="D1321" s="14">
        <v>215.18049999999999</v>
      </c>
    </row>
    <row r="1322" spans="1:4" s="1" customFormat="1" ht="19.75" customHeight="1" x14ac:dyDescent="0.25">
      <c r="A1322" s="9">
        <f>2011</f>
        <v>2011</v>
      </c>
      <c r="B1322" s="4" t="s">
        <v>51</v>
      </c>
      <c r="C1322" s="5">
        <v>641.28599999999994</v>
      </c>
      <c r="D1322" s="13">
        <v>344.46820000000002</v>
      </c>
    </row>
    <row r="1323" spans="1:4" s="1" customFormat="1" ht="19.75" customHeight="1" x14ac:dyDescent="0.25">
      <c r="A1323" s="9">
        <f>2011</f>
        <v>2011</v>
      </c>
      <c r="B1323" s="4" t="s">
        <v>50</v>
      </c>
      <c r="C1323" s="2">
        <v>2305.4495999999999</v>
      </c>
      <c r="D1323" s="14">
        <v>836.13909999999998</v>
      </c>
    </row>
    <row r="1324" spans="1:4" s="1" customFormat="1" ht="19.75" customHeight="1" x14ac:dyDescent="0.25">
      <c r="A1324" s="9">
        <f>2011</f>
        <v>2011</v>
      </c>
      <c r="B1324" s="4" t="s">
        <v>48</v>
      </c>
      <c r="C1324" s="5">
        <v>9385.0838999999996</v>
      </c>
      <c r="D1324" s="13">
        <v>7152.9141</v>
      </c>
    </row>
    <row r="1325" spans="1:4" s="1" customFormat="1" ht="19.75" customHeight="1" x14ac:dyDescent="0.25">
      <c r="A1325" s="9">
        <f>2011</f>
        <v>2011</v>
      </c>
      <c r="B1325" s="4" t="s">
        <v>47</v>
      </c>
      <c r="C1325" s="2">
        <v>16957.1515</v>
      </c>
      <c r="D1325" s="14">
        <v>6617.2492000000002</v>
      </c>
    </row>
    <row r="1326" spans="1:4" s="1" customFormat="1" ht="19.75" customHeight="1" x14ac:dyDescent="0.25">
      <c r="A1326" s="9">
        <f>2011</f>
        <v>2011</v>
      </c>
      <c r="B1326" s="4" t="s">
        <v>46</v>
      </c>
      <c r="C1326" s="5">
        <v>2212.8649</v>
      </c>
      <c r="D1326" s="13">
        <v>1008.4831</v>
      </c>
    </row>
    <row r="1327" spans="1:4" s="1" customFormat="1" ht="19.75" customHeight="1" x14ac:dyDescent="0.25">
      <c r="A1327" s="9">
        <f>2011</f>
        <v>2011</v>
      </c>
      <c r="B1327" s="4" t="s">
        <v>45</v>
      </c>
      <c r="C1327" s="2">
        <v>1687.5372</v>
      </c>
      <c r="D1327" s="14">
        <v>1026.0179000000001</v>
      </c>
    </row>
    <row r="1328" spans="1:4" s="1" customFormat="1" ht="19.75" customHeight="1" x14ac:dyDescent="0.25">
      <c r="A1328" s="9">
        <f>2011</f>
        <v>2011</v>
      </c>
      <c r="B1328" s="4" t="s">
        <v>44</v>
      </c>
      <c r="C1328" s="5">
        <v>2169.4684999999999</v>
      </c>
      <c r="D1328" s="13">
        <v>758.93179999999995</v>
      </c>
    </row>
    <row r="1329" spans="1:4" s="1" customFormat="1" ht="19.75" customHeight="1" x14ac:dyDescent="0.25">
      <c r="A1329" s="9">
        <f>2011</f>
        <v>2011</v>
      </c>
      <c r="B1329" s="4" t="s">
        <v>43</v>
      </c>
      <c r="C1329" s="2">
        <v>1758.3628000000001</v>
      </c>
      <c r="D1329" s="14">
        <v>548.95240000000001</v>
      </c>
    </row>
    <row r="1330" spans="1:4" s="1" customFormat="1" ht="19.75" customHeight="1" x14ac:dyDescent="0.25">
      <c r="A1330" s="9">
        <f>2011</f>
        <v>2011</v>
      </c>
      <c r="B1330" s="4" t="s">
        <v>42</v>
      </c>
      <c r="C1330" s="5">
        <v>1450.8411000000001</v>
      </c>
      <c r="D1330" s="13">
        <v>430.60340000000002</v>
      </c>
    </row>
    <row r="1331" spans="1:4" s="1" customFormat="1" ht="19.75" customHeight="1" x14ac:dyDescent="0.25">
      <c r="A1331" s="9">
        <f>2011</f>
        <v>2011</v>
      </c>
      <c r="B1331" s="4" t="s">
        <v>41</v>
      </c>
      <c r="C1331" s="2">
        <v>2092.1768000000002</v>
      </c>
      <c r="D1331" s="14">
        <v>1553.3202000000001</v>
      </c>
    </row>
    <row r="1332" spans="1:4" s="1" customFormat="1" ht="19.75" customHeight="1" x14ac:dyDescent="0.25">
      <c r="A1332" s="9">
        <f>2011</f>
        <v>2011</v>
      </c>
      <c r="B1332" s="4" t="s">
        <v>40</v>
      </c>
      <c r="C1332" s="5">
        <v>699.84439999999995</v>
      </c>
      <c r="D1332" s="13">
        <v>228.1482</v>
      </c>
    </row>
    <row r="1333" spans="1:4" s="1" customFormat="1" ht="19.75" customHeight="1" x14ac:dyDescent="0.25">
      <c r="A1333" s="9">
        <f>2011</f>
        <v>2011</v>
      </c>
      <c r="B1333" s="4" t="s">
        <v>38</v>
      </c>
      <c r="C1333" s="2">
        <v>140.74170000000001</v>
      </c>
      <c r="D1333" s="14">
        <v>55.919400000000003</v>
      </c>
    </row>
    <row r="1334" spans="1:4" s="1" customFormat="1" ht="19.75" customHeight="1" x14ac:dyDescent="0.25">
      <c r="A1334" s="9">
        <f>2011</f>
        <v>2011</v>
      </c>
      <c r="B1334" s="4" t="s">
        <v>37</v>
      </c>
      <c r="C1334" s="5">
        <v>94.032399999999996</v>
      </c>
      <c r="D1334" s="13">
        <v>94.477500000000006</v>
      </c>
    </row>
    <row r="1335" spans="1:4" s="1" customFormat="1" ht="19.75" customHeight="1" x14ac:dyDescent="0.25">
      <c r="A1335" s="9">
        <f>2011</f>
        <v>2011</v>
      </c>
      <c r="B1335" s="4" t="s">
        <v>35</v>
      </c>
      <c r="C1335" s="2">
        <v>26.0733</v>
      </c>
      <c r="D1335" s="14">
        <v>10.3828</v>
      </c>
    </row>
    <row r="1336" spans="1:4" s="1" customFormat="1" ht="19.75" customHeight="1" x14ac:dyDescent="0.25">
      <c r="A1336" s="9">
        <f>2011</f>
        <v>2011</v>
      </c>
      <c r="B1336" s="4" t="s">
        <v>34</v>
      </c>
      <c r="C1336" s="5">
        <v>1654.9151999999999</v>
      </c>
      <c r="D1336" s="13">
        <v>462.53230000000002</v>
      </c>
    </row>
    <row r="1337" spans="1:4" s="1" customFormat="1" ht="19.75" customHeight="1" x14ac:dyDescent="0.25">
      <c r="A1337" s="9">
        <f>2011</f>
        <v>2011</v>
      </c>
      <c r="B1337" s="4" t="s">
        <v>33</v>
      </c>
      <c r="C1337" s="2">
        <v>827.15110000000004</v>
      </c>
      <c r="D1337" s="14">
        <v>298.02379999999999</v>
      </c>
    </row>
    <row r="1338" spans="1:4" s="1" customFormat="1" ht="19.75" customHeight="1" x14ac:dyDescent="0.25">
      <c r="A1338" s="9">
        <f>2011</f>
        <v>2011</v>
      </c>
      <c r="B1338" s="4" t="s">
        <v>31</v>
      </c>
      <c r="C1338" s="5">
        <v>2794.8173999999999</v>
      </c>
      <c r="D1338" s="13">
        <v>679.81029999999998</v>
      </c>
    </row>
    <row r="1339" spans="1:4" s="1" customFormat="1" ht="19.75" customHeight="1" x14ac:dyDescent="0.25">
      <c r="A1339" s="9">
        <f>2011</f>
        <v>2011</v>
      </c>
      <c r="B1339" s="4" t="s">
        <v>30</v>
      </c>
      <c r="C1339" s="2">
        <v>0.27089999999999997</v>
      </c>
      <c r="D1339" s="14">
        <v>8.4831000000000003</v>
      </c>
    </row>
    <row r="1340" spans="1:4" s="1" customFormat="1" ht="19.75" customHeight="1" x14ac:dyDescent="0.25">
      <c r="A1340" s="9">
        <f>2011</f>
        <v>2011</v>
      </c>
      <c r="B1340" s="4" t="s">
        <v>29</v>
      </c>
      <c r="C1340" s="5">
        <v>24.382999999999999</v>
      </c>
      <c r="D1340" s="13">
        <v>14.5755</v>
      </c>
    </row>
    <row r="1341" spans="1:4" s="1" customFormat="1" ht="19.75" customHeight="1" x14ac:dyDescent="0.25">
      <c r="A1341" s="9">
        <f>2011</f>
        <v>2011</v>
      </c>
      <c r="B1341" s="4" t="s">
        <v>91</v>
      </c>
      <c r="C1341" s="2">
        <v>38.123100000000001</v>
      </c>
      <c r="D1341" s="14">
        <v>416.214</v>
      </c>
    </row>
    <row r="1342" spans="1:4" s="1" customFormat="1" ht="19.75" customHeight="1" x14ac:dyDescent="0.25">
      <c r="A1342" s="9">
        <f>2011</f>
        <v>2011</v>
      </c>
      <c r="B1342" s="4" t="s">
        <v>27</v>
      </c>
      <c r="C1342" s="5">
        <v>197.53319999999999</v>
      </c>
      <c r="D1342" s="13">
        <v>358.53129999999999</v>
      </c>
    </row>
    <row r="1343" spans="1:4" s="1" customFormat="1" ht="19.75" customHeight="1" x14ac:dyDescent="0.25">
      <c r="A1343" s="9">
        <f>2011</f>
        <v>2011</v>
      </c>
      <c r="B1343" s="4" t="s">
        <v>26</v>
      </c>
      <c r="C1343" s="2">
        <v>23.691099999999999</v>
      </c>
      <c r="D1343" s="14">
        <v>17.277000000000001</v>
      </c>
    </row>
    <row r="1344" spans="1:4" s="1" customFormat="1" ht="19.75" customHeight="1" x14ac:dyDescent="0.25">
      <c r="A1344" s="9">
        <f>2011</f>
        <v>2011</v>
      </c>
      <c r="B1344" s="4" t="s">
        <v>25</v>
      </c>
      <c r="C1344" s="5">
        <v>3.8367</v>
      </c>
      <c r="D1344" s="13">
        <v>3.7151000000000001</v>
      </c>
    </row>
    <row r="1345" spans="1:4" s="1" customFormat="1" ht="19.75" customHeight="1" x14ac:dyDescent="0.25">
      <c r="A1345" s="9">
        <f>2011</f>
        <v>2011</v>
      </c>
      <c r="B1345" s="4" t="s">
        <v>24</v>
      </c>
      <c r="C1345" s="2">
        <v>238.60069999999999</v>
      </c>
      <c r="D1345" s="14">
        <v>53.488799999999998</v>
      </c>
    </row>
    <row r="1346" spans="1:4" s="1" customFormat="1" ht="19.75" customHeight="1" x14ac:dyDescent="0.25">
      <c r="A1346" s="9">
        <f>2011</f>
        <v>2011</v>
      </c>
      <c r="B1346" s="4" t="s">
        <v>23</v>
      </c>
      <c r="C1346" s="5">
        <v>832.54010000000005</v>
      </c>
      <c r="D1346" s="13">
        <v>760.48299999999995</v>
      </c>
    </row>
    <row r="1347" spans="1:4" s="1" customFormat="1" ht="19.75" customHeight="1" x14ac:dyDescent="0.25">
      <c r="A1347" s="9">
        <f>2011</f>
        <v>2011</v>
      </c>
      <c r="B1347" s="4" t="s">
        <v>22</v>
      </c>
      <c r="C1347" s="2">
        <v>240.9494</v>
      </c>
      <c r="D1347" s="14">
        <v>285.56310000000002</v>
      </c>
    </row>
    <row r="1348" spans="1:4" s="1" customFormat="1" ht="19.75" customHeight="1" x14ac:dyDescent="0.25">
      <c r="A1348" s="9">
        <f>2011</f>
        <v>2011</v>
      </c>
      <c r="B1348" s="4" t="s">
        <v>21</v>
      </c>
      <c r="C1348" s="5">
        <v>2222.66</v>
      </c>
      <c r="D1348" s="13">
        <v>2716.9969000000001</v>
      </c>
    </row>
    <row r="1349" spans="1:4" s="1" customFormat="1" ht="19.75" customHeight="1" x14ac:dyDescent="0.25">
      <c r="A1349" s="9">
        <f>2011</f>
        <v>2011</v>
      </c>
      <c r="B1349" s="4" t="s">
        <v>96</v>
      </c>
      <c r="C1349" s="2">
        <v>2.1600000000000001E-2</v>
      </c>
      <c r="D1349" s="14">
        <v>27.022200000000002</v>
      </c>
    </row>
    <row r="1350" spans="1:4" s="1" customFormat="1" ht="19.75" customHeight="1" x14ac:dyDescent="0.25">
      <c r="A1350" s="9">
        <f>2011</f>
        <v>2011</v>
      </c>
      <c r="B1350" s="4" t="s">
        <v>20</v>
      </c>
      <c r="C1350" s="5">
        <v>174.51439999999999</v>
      </c>
      <c r="D1350" s="13">
        <v>94.683400000000006</v>
      </c>
    </row>
    <row r="1351" spans="1:4" s="1" customFormat="1" ht="19.75" customHeight="1" x14ac:dyDescent="0.25">
      <c r="A1351" s="9">
        <f>2011</f>
        <v>2011</v>
      </c>
      <c r="B1351" s="4" t="s">
        <v>19</v>
      </c>
      <c r="C1351" s="2">
        <v>5.9245999999999999</v>
      </c>
      <c r="D1351" s="14">
        <v>11.469200000000001</v>
      </c>
    </row>
    <row r="1352" spans="1:4" s="1" customFormat="1" ht="19.75" customHeight="1" x14ac:dyDescent="0.25">
      <c r="A1352" s="9">
        <f>2011</f>
        <v>2011</v>
      </c>
      <c r="B1352" s="4" t="s">
        <v>18</v>
      </c>
      <c r="C1352" s="5">
        <v>590.79020000000003</v>
      </c>
      <c r="D1352" s="13">
        <v>272.57659999999998</v>
      </c>
    </row>
    <row r="1353" spans="1:4" s="1" customFormat="1" ht="19.75" customHeight="1" x14ac:dyDescent="0.25">
      <c r="A1353" s="9">
        <f>2011</f>
        <v>2011</v>
      </c>
      <c r="B1353" s="4" t="s">
        <v>17</v>
      </c>
      <c r="C1353" s="2">
        <v>461.6103</v>
      </c>
      <c r="D1353" s="14">
        <v>1123.4412</v>
      </c>
    </row>
    <row r="1354" spans="1:4" s="1" customFormat="1" ht="19.75" customHeight="1" x14ac:dyDescent="0.25">
      <c r="A1354" s="9">
        <f>2011</f>
        <v>2011</v>
      </c>
      <c r="B1354" s="4" t="s">
        <v>94</v>
      </c>
      <c r="C1354" s="5">
        <v>15.2049</v>
      </c>
      <c r="D1354" s="13">
        <v>51.937100000000001</v>
      </c>
    </row>
    <row r="1355" spans="1:4" s="1" customFormat="1" ht="19.75" customHeight="1" x14ac:dyDescent="0.25">
      <c r="A1355" s="9">
        <f>2011</f>
        <v>2011</v>
      </c>
      <c r="B1355" s="4" t="s">
        <v>16</v>
      </c>
      <c r="C1355" s="2">
        <v>1859.1228000000001</v>
      </c>
      <c r="D1355" s="14">
        <v>2190.9495000000002</v>
      </c>
    </row>
    <row r="1356" spans="1:4" s="1" customFormat="1" ht="19.75" customHeight="1" x14ac:dyDescent="0.25">
      <c r="A1356" s="9">
        <f>2011</f>
        <v>2011</v>
      </c>
      <c r="B1356" s="4" t="s">
        <v>15</v>
      </c>
      <c r="C1356" s="5">
        <v>8.2949999999999999</v>
      </c>
      <c r="D1356" s="13">
        <v>7.2011000000000003</v>
      </c>
    </row>
    <row r="1357" spans="1:4" s="1" customFormat="1" ht="19.75" customHeight="1" x14ac:dyDescent="0.25">
      <c r="A1357" s="9">
        <f>2011</f>
        <v>2011</v>
      </c>
      <c r="B1357" s="4" t="s">
        <v>13</v>
      </c>
      <c r="C1357" s="2">
        <v>247.10570000000001</v>
      </c>
      <c r="D1357" s="14">
        <v>204.3784</v>
      </c>
    </row>
    <row r="1358" spans="1:4" s="1" customFormat="1" ht="19.75" customHeight="1" x14ac:dyDescent="0.25">
      <c r="A1358" s="9">
        <f>2011</f>
        <v>2011</v>
      </c>
      <c r="B1358" s="4" t="s">
        <v>90</v>
      </c>
      <c r="C1358" s="5">
        <v>1.8100000000000002E-2</v>
      </c>
      <c r="D1358" s="13">
        <v>8.7539999999999996</v>
      </c>
    </row>
    <row r="1359" spans="1:4" s="1" customFormat="1" ht="19.75" customHeight="1" x14ac:dyDescent="0.25">
      <c r="A1359" s="9">
        <f>2011</f>
        <v>2011</v>
      </c>
      <c r="B1359" s="4" t="s">
        <v>88</v>
      </c>
      <c r="C1359" s="2">
        <v>7.3356000000000003</v>
      </c>
      <c r="D1359" s="14">
        <v>11.9551</v>
      </c>
    </row>
    <row r="1360" spans="1:4" s="1" customFormat="1" ht="19.75" customHeight="1" x14ac:dyDescent="0.25">
      <c r="A1360" s="9">
        <f>2011</f>
        <v>2011</v>
      </c>
      <c r="B1360" s="4" t="s">
        <v>11</v>
      </c>
      <c r="C1360" s="5">
        <v>2.9377</v>
      </c>
      <c r="D1360" s="13">
        <v>3.7212000000000001</v>
      </c>
    </row>
    <row r="1361" spans="1:4" s="1" customFormat="1" ht="19.75" customHeight="1" x14ac:dyDescent="0.25">
      <c r="A1361" s="9">
        <f>2011</f>
        <v>2011</v>
      </c>
      <c r="B1361" s="4" t="s">
        <v>10</v>
      </c>
      <c r="C1361" s="2">
        <v>0.13980000000000001</v>
      </c>
      <c r="D1361" s="14">
        <v>8.3819999999999997</v>
      </c>
    </row>
    <row r="1362" spans="1:4" s="1" customFormat="1" ht="19.75" customHeight="1" x14ac:dyDescent="0.25">
      <c r="A1362" s="9">
        <f>2011</f>
        <v>2011</v>
      </c>
      <c r="B1362" s="4" t="s">
        <v>9</v>
      </c>
      <c r="C1362" s="5">
        <v>37.952800000000003</v>
      </c>
      <c r="D1362" s="13">
        <v>54.012</v>
      </c>
    </row>
    <row r="1363" spans="1:4" s="1" customFormat="1" ht="19.75" customHeight="1" x14ac:dyDescent="0.25">
      <c r="A1363" s="9">
        <f>2011</f>
        <v>2011</v>
      </c>
      <c r="B1363" s="4" t="s">
        <v>8</v>
      </c>
      <c r="C1363" s="2">
        <v>67.225099999999998</v>
      </c>
      <c r="D1363" s="14">
        <v>68.819000000000003</v>
      </c>
    </row>
    <row r="1364" spans="1:4" s="1" customFormat="1" ht="19.75" customHeight="1" x14ac:dyDescent="0.25">
      <c r="A1364" s="9">
        <f>2011</f>
        <v>2011</v>
      </c>
      <c r="B1364" s="4" t="s">
        <v>7</v>
      </c>
      <c r="C1364" s="6"/>
      <c r="D1364" s="13">
        <v>0.42680000000000001</v>
      </c>
    </row>
    <row r="1365" spans="1:4" s="1" customFormat="1" ht="19.75" customHeight="1" x14ac:dyDescent="0.25">
      <c r="A1365" s="9">
        <f>2011</f>
        <v>2011</v>
      </c>
      <c r="B1365" s="4" t="s">
        <v>6</v>
      </c>
      <c r="C1365" s="2">
        <v>35.878</v>
      </c>
      <c r="D1365" s="14">
        <v>9.9419000000000004</v>
      </c>
    </row>
    <row r="1366" spans="1:4" s="1" customFormat="1" ht="19.75" customHeight="1" x14ac:dyDescent="0.25">
      <c r="A1366" s="9">
        <f>2011</f>
        <v>2011</v>
      </c>
      <c r="B1366" s="4" t="s">
        <v>5</v>
      </c>
      <c r="C1366" s="5">
        <v>30.104199999999999</v>
      </c>
      <c r="D1366" s="13">
        <v>18.214500000000001</v>
      </c>
    </row>
    <row r="1367" spans="1:4" s="1" customFormat="1" ht="19.75" customHeight="1" x14ac:dyDescent="0.25">
      <c r="A1367" s="9">
        <f>2011</f>
        <v>2011</v>
      </c>
      <c r="B1367" s="4" t="s">
        <v>4</v>
      </c>
      <c r="C1367" s="2">
        <v>112.1319</v>
      </c>
      <c r="D1367" s="14">
        <v>56.4542</v>
      </c>
    </row>
    <row r="1368" spans="1:4" s="1" customFormat="1" ht="19.75" customHeight="1" x14ac:dyDescent="0.25">
      <c r="A1368" s="9">
        <f>2011</f>
        <v>2011</v>
      </c>
      <c r="B1368" s="4" t="s">
        <v>3</v>
      </c>
      <c r="C1368" s="5">
        <v>0.74880000000000002</v>
      </c>
      <c r="D1368" s="13">
        <v>4.3242000000000003</v>
      </c>
    </row>
    <row r="1369" spans="1:4" s="1" customFormat="1" ht="19.75" customHeight="1" x14ac:dyDescent="0.25">
      <c r="A1369" s="9">
        <f>2011</f>
        <v>2011</v>
      </c>
      <c r="B1369" s="4" t="s">
        <v>2</v>
      </c>
      <c r="C1369" s="2">
        <v>2350.6005</v>
      </c>
      <c r="D1369" s="14">
        <v>2596.9065999999998</v>
      </c>
    </row>
    <row r="1370" spans="1:4" s="1" customFormat="1" ht="19.75" customHeight="1" x14ac:dyDescent="0.25">
      <c r="A1370" s="9">
        <f>2011</f>
        <v>2011</v>
      </c>
      <c r="B1370" s="4" t="s">
        <v>93</v>
      </c>
      <c r="C1370" s="5">
        <v>735.3836</v>
      </c>
      <c r="D1370" s="13">
        <v>1000.4527</v>
      </c>
    </row>
    <row r="1371" spans="1:4" s="1" customFormat="1" ht="19.75" customHeight="1" x14ac:dyDescent="0.25">
      <c r="A1371" s="9">
        <f>2011</f>
        <v>2011</v>
      </c>
      <c r="B1371" s="4" t="s">
        <v>89</v>
      </c>
      <c r="C1371" s="2">
        <v>57.0443</v>
      </c>
      <c r="D1371" s="14">
        <v>100.53570000000001</v>
      </c>
    </row>
    <row r="1372" spans="1:4" s="1" customFormat="1" ht="19.75" customHeight="1" x14ac:dyDescent="0.25">
      <c r="A1372" s="9">
        <f>2011</f>
        <v>2011</v>
      </c>
      <c r="B1372" s="4" t="s">
        <v>95</v>
      </c>
      <c r="C1372" s="6"/>
      <c r="D1372" s="13">
        <v>6.7432999999999996</v>
      </c>
    </row>
    <row r="1373" spans="1:4" s="1" customFormat="1" ht="19.75" customHeight="1" x14ac:dyDescent="0.25">
      <c r="A1373" s="9">
        <f>2010</f>
        <v>2010</v>
      </c>
      <c r="B1373" s="4" t="s">
        <v>87</v>
      </c>
      <c r="C1373" s="2">
        <v>2765.6922</v>
      </c>
      <c r="D1373" s="14">
        <v>890.47069999999997</v>
      </c>
    </row>
    <row r="1374" spans="1:4" s="1" customFormat="1" ht="19.75" customHeight="1" x14ac:dyDescent="0.25">
      <c r="A1374" s="9">
        <f>2010</f>
        <v>2010</v>
      </c>
      <c r="B1374" s="4" t="s">
        <v>86</v>
      </c>
      <c r="C1374" s="5">
        <v>4470.8819999999996</v>
      </c>
      <c r="D1374" s="13">
        <v>983.77520000000004</v>
      </c>
    </row>
    <row r="1375" spans="1:4" s="1" customFormat="1" ht="19.75" customHeight="1" x14ac:dyDescent="0.25">
      <c r="A1375" s="9">
        <f>2010</f>
        <v>2010</v>
      </c>
      <c r="B1375" s="4" t="s">
        <v>85</v>
      </c>
      <c r="C1375" s="2">
        <v>47322.478000000003</v>
      </c>
      <c r="D1375" s="14">
        <v>20318.68</v>
      </c>
    </row>
    <row r="1376" spans="1:4" s="1" customFormat="1" ht="19.75" customHeight="1" x14ac:dyDescent="0.25">
      <c r="A1376" s="9">
        <f>2010</f>
        <v>2010</v>
      </c>
      <c r="B1376" s="4" t="s">
        <v>84</v>
      </c>
      <c r="C1376" s="5">
        <v>1928.1043</v>
      </c>
      <c r="D1376" s="13">
        <v>508.14429999999999</v>
      </c>
    </row>
    <row r="1377" spans="1:4" s="1" customFormat="1" ht="19.75" customHeight="1" x14ac:dyDescent="0.25">
      <c r="A1377" s="9">
        <f>2010</f>
        <v>2010</v>
      </c>
      <c r="B1377" s="4" t="s">
        <v>83</v>
      </c>
      <c r="C1377" s="2">
        <v>2322.3613999999998</v>
      </c>
      <c r="D1377" s="14">
        <v>724.875</v>
      </c>
    </row>
    <row r="1378" spans="1:4" s="1" customFormat="1" ht="19.75" customHeight="1" x14ac:dyDescent="0.25">
      <c r="A1378" s="9">
        <f>2010</f>
        <v>2010</v>
      </c>
      <c r="B1378" s="4" t="s">
        <v>82</v>
      </c>
      <c r="C1378" s="5">
        <v>4441.0496000000003</v>
      </c>
      <c r="D1378" s="13">
        <v>900.94870000000003</v>
      </c>
    </row>
    <row r="1379" spans="1:4" s="1" customFormat="1" ht="19.75" customHeight="1" x14ac:dyDescent="0.25">
      <c r="A1379" s="9">
        <f>2010</f>
        <v>2010</v>
      </c>
      <c r="B1379" s="4" t="s">
        <v>80</v>
      </c>
      <c r="C1379" s="2">
        <v>2977.9387999999999</v>
      </c>
      <c r="D1379" s="14">
        <v>955.87289999999996</v>
      </c>
    </row>
    <row r="1380" spans="1:4" s="1" customFormat="1" ht="19.75" customHeight="1" x14ac:dyDescent="0.25">
      <c r="A1380" s="9">
        <f>2010</f>
        <v>2010</v>
      </c>
      <c r="B1380" s="4" t="s">
        <v>79</v>
      </c>
      <c r="C1380" s="5">
        <v>5718.7209000000003</v>
      </c>
      <c r="D1380" s="13">
        <v>1617.8316</v>
      </c>
    </row>
    <row r="1381" spans="1:4" s="1" customFormat="1" ht="19.75" customHeight="1" x14ac:dyDescent="0.25">
      <c r="A1381" s="9">
        <f>2010</f>
        <v>2010</v>
      </c>
      <c r="B1381" s="4" t="s">
        <v>78</v>
      </c>
      <c r="C1381" s="2">
        <v>4178.1287000000002</v>
      </c>
      <c r="D1381" s="14">
        <v>1349.5350000000001</v>
      </c>
    </row>
    <row r="1382" spans="1:4" s="1" customFormat="1" ht="19.75" customHeight="1" x14ac:dyDescent="0.25">
      <c r="A1382" s="9">
        <f>2010</f>
        <v>2010</v>
      </c>
      <c r="B1382" s="4" t="s">
        <v>77</v>
      </c>
      <c r="C1382" s="5">
        <v>10758.856599999999</v>
      </c>
      <c r="D1382" s="13">
        <v>3810.5812999999998</v>
      </c>
    </row>
    <row r="1383" spans="1:4" s="1" customFormat="1" ht="19.75" customHeight="1" x14ac:dyDescent="0.25">
      <c r="A1383" s="9">
        <f>2010</f>
        <v>2010</v>
      </c>
      <c r="B1383" s="4" t="s">
        <v>76</v>
      </c>
      <c r="C1383" s="2">
        <v>12122.0429</v>
      </c>
      <c r="D1383" s="14">
        <v>3667.8137000000002</v>
      </c>
    </row>
    <row r="1384" spans="1:4" s="1" customFormat="1" ht="19.75" customHeight="1" x14ac:dyDescent="0.25">
      <c r="A1384" s="9">
        <f>2010</f>
        <v>2010</v>
      </c>
      <c r="B1384" s="4" t="s">
        <v>75</v>
      </c>
      <c r="C1384" s="5">
        <v>3439.3087</v>
      </c>
      <c r="D1384" s="13">
        <v>1072.9469999999999</v>
      </c>
    </row>
    <row r="1385" spans="1:4" s="1" customFormat="1" ht="19.75" customHeight="1" x14ac:dyDescent="0.25">
      <c r="A1385" s="9">
        <f>2010</f>
        <v>2010</v>
      </c>
      <c r="B1385" s="4" t="s">
        <v>74</v>
      </c>
      <c r="C1385" s="2">
        <v>13071.428400000001</v>
      </c>
      <c r="D1385" s="14">
        <v>3477.6235000000001</v>
      </c>
    </row>
    <row r="1386" spans="1:4" s="1" customFormat="1" ht="19.75" customHeight="1" x14ac:dyDescent="0.25">
      <c r="A1386" s="9">
        <f>2010</f>
        <v>2010</v>
      </c>
      <c r="B1386" s="4" t="s">
        <v>73</v>
      </c>
      <c r="C1386" s="5">
        <v>9519.0128999999997</v>
      </c>
      <c r="D1386" s="13">
        <v>2222.0171999999998</v>
      </c>
    </row>
    <row r="1387" spans="1:4" s="1" customFormat="1" ht="19.75" customHeight="1" x14ac:dyDescent="0.25">
      <c r="A1387" s="9">
        <f>2010</f>
        <v>2010</v>
      </c>
      <c r="B1387" s="4" t="s">
        <v>72</v>
      </c>
      <c r="C1387" s="2">
        <v>5084.3464999999997</v>
      </c>
      <c r="D1387" s="14">
        <v>1259.9527</v>
      </c>
    </row>
    <row r="1388" spans="1:4" s="1" customFormat="1" ht="19.75" customHeight="1" x14ac:dyDescent="0.25">
      <c r="A1388" s="9">
        <f>2010</f>
        <v>2010</v>
      </c>
      <c r="B1388" s="4" t="s">
        <v>71</v>
      </c>
      <c r="C1388" s="5">
        <v>2910.3337000000001</v>
      </c>
      <c r="D1388" s="13">
        <v>848.07820000000004</v>
      </c>
    </row>
    <row r="1389" spans="1:4" s="1" customFormat="1" ht="19.75" customHeight="1" x14ac:dyDescent="0.25">
      <c r="A1389" s="9">
        <f>2010</f>
        <v>2010</v>
      </c>
      <c r="B1389" s="4" t="s">
        <v>92</v>
      </c>
      <c r="C1389" s="2">
        <v>13005.216899999999</v>
      </c>
      <c r="D1389" s="14">
        <v>1831.4253000000001</v>
      </c>
    </row>
    <row r="1390" spans="1:4" s="1" customFormat="1" ht="19.75" customHeight="1" x14ac:dyDescent="0.25">
      <c r="A1390" s="9">
        <f>2010</f>
        <v>2010</v>
      </c>
      <c r="B1390" s="4" t="s">
        <v>69</v>
      </c>
      <c r="C1390" s="5">
        <v>4553.1837999999998</v>
      </c>
      <c r="D1390" s="13">
        <v>1730.2458999999999</v>
      </c>
    </row>
    <row r="1391" spans="1:4" s="1" customFormat="1" ht="19.75" customHeight="1" x14ac:dyDescent="0.25">
      <c r="A1391" s="9">
        <f>2010</f>
        <v>2010</v>
      </c>
      <c r="B1391" s="4" t="s">
        <v>68</v>
      </c>
      <c r="C1391" s="2">
        <v>7077.9094999999998</v>
      </c>
      <c r="D1391" s="14">
        <v>2466.4971</v>
      </c>
    </row>
    <row r="1392" spans="1:4" s="1" customFormat="1" ht="19.75" customHeight="1" x14ac:dyDescent="0.25">
      <c r="A1392" s="9">
        <f>2010</f>
        <v>2010</v>
      </c>
      <c r="B1392" s="4" t="s">
        <v>67</v>
      </c>
      <c r="C1392" s="5">
        <v>7349.6899000000003</v>
      </c>
      <c r="D1392" s="13">
        <v>1685.9809</v>
      </c>
    </row>
    <row r="1393" spans="1:4" s="1" customFormat="1" ht="19.75" customHeight="1" x14ac:dyDescent="0.25">
      <c r="A1393" s="9">
        <f>2010</f>
        <v>2010</v>
      </c>
      <c r="B1393" s="4" t="s">
        <v>66</v>
      </c>
      <c r="C1393" s="2">
        <v>2750.2339000000002</v>
      </c>
      <c r="D1393" s="14">
        <v>718.18439999999998</v>
      </c>
    </row>
    <row r="1394" spans="1:4" s="1" customFormat="1" ht="19.75" customHeight="1" x14ac:dyDescent="0.25">
      <c r="A1394" s="9">
        <f>2010</f>
        <v>2010</v>
      </c>
      <c r="B1394" s="4" t="s">
        <v>65</v>
      </c>
      <c r="C1394" s="5">
        <v>12944.023300000001</v>
      </c>
      <c r="D1394" s="13">
        <v>4761.9169000000002</v>
      </c>
    </row>
    <row r="1395" spans="1:4" s="1" customFormat="1" ht="19.75" customHeight="1" x14ac:dyDescent="0.25">
      <c r="A1395" s="9">
        <f>2010</f>
        <v>2010</v>
      </c>
      <c r="B1395" s="4" t="s">
        <v>64</v>
      </c>
      <c r="C1395" s="2">
        <v>7307.3662999999997</v>
      </c>
      <c r="D1395" s="14">
        <v>2033.5708999999999</v>
      </c>
    </row>
    <row r="1396" spans="1:4" s="1" customFormat="1" ht="19.75" customHeight="1" x14ac:dyDescent="0.25">
      <c r="A1396" s="9">
        <f>2010</f>
        <v>2010</v>
      </c>
      <c r="B1396" s="4" t="s">
        <v>63</v>
      </c>
      <c r="C1396" s="5">
        <v>7202.1959999999999</v>
      </c>
      <c r="D1396" s="13">
        <v>1584.4211</v>
      </c>
    </row>
    <row r="1397" spans="1:4" s="1" customFormat="1" ht="19.75" customHeight="1" x14ac:dyDescent="0.25">
      <c r="A1397" s="9">
        <f>2010</f>
        <v>2010</v>
      </c>
      <c r="B1397" s="4" t="s">
        <v>62</v>
      </c>
      <c r="C1397" s="2">
        <v>9110.2674000000006</v>
      </c>
      <c r="D1397" s="14">
        <v>2507.8474999999999</v>
      </c>
    </row>
    <row r="1398" spans="1:4" s="1" customFormat="1" ht="19.75" customHeight="1" x14ac:dyDescent="0.25">
      <c r="A1398" s="9">
        <f>2010</f>
        <v>2010</v>
      </c>
      <c r="B1398" s="4" t="s">
        <v>61</v>
      </c>
      <c r="C1398" s="5">
        <v>3857.7161999999998</v>
      </c>
      <c r="D1398" s="13">
        <v>1074.1193000000001</v>
      </c>
    </row>
    <row r="1399" spans="1:4" s="1" customFormat="1" ht="19.75" customHeight="1" x14ac:dyDescent="0.25">
      <c r="A1399" s="9">
        <f>2010</f>
        <v>2010</v>
      </c>
      <c r="B1399" s="4" t="s">
        <v>60</v>
      </c>
      <c r="C1399" s="2">
        <v>3751.5659999999998</v>
      </c>
      <c r="D1399" s="14">
        <v>1071.5677000000001</v>
      </c>
    </row>
    <row r="1400" spans="1:4" s="1" customFormat="1" ht="19.75" customHeight="1" x14ac:dyDescent="0.25">
      <c r="A1400" s="9">
        <f>2010</f>
        <v>2010</v>
      </c>
      <c r="B1400" s="4" t="s">
        <v>59</v>
      </c>
      <c r="C1400" s="5">
        <v>6633.5261</v>
      </c>
      <c r="D1400" s="13">
        <v>3709.7222999999999</v>
      </c>
    </row>
    <row r="1401" spans="1:4" s="1" customFormat="1" ht="19.75" customHeight="1" x14ac:dyDescent="0.25">
      <c r="A1401" s="9">
        <f>2010</f>
        <v>2010</v>
      </c>
      <c r="B1401" s="4" t="s">
        <v>57</v>
      </c>
      <c r="C1401" s="2">
        <v>1024.4764</v>
      </c>
      <c r="D1401" s="14">
        <v>492.90440000000001</v>
      </c>
    </row>
    <row r="1402" spans="1:4" s="1" customFormat="1" ht="19.75" customHeight="1" x14ac:dyDescent="0.25">
      <c r="A1402" s="9">
        <f>2010</f>
        <v>2010</v>
      </c>
      <c r="B1402" s="4" t="s">
        <v>54</v>
      </c>
      <c r="C1402" s="5">
        <v>678.46579999999994</v>
      </c>
      <c r="D1402" s="13">
        <v>165.8511</v>
      </c>
    </row>
    <row r="1403" spans="1:4" s="1" customFormat="1" ht="19.75" customHeight="1" x14ac:dyDescent="0.25">
      <c r="A1403" s="9">
        <f>2010</f>
        <v>2010</v>
      </c>
      <c r="B1403" s="4" t="s">
        <v>53</v>
      </c>
      <c r="C1403" s="2">
        <v>455.1549</v>
      </c>
      <c r="D1403" s="14">
        <v>189.07490000000001</v>
      </c>
    </row>
    <row r="1404" spans="1:4" s="1" customFormat="1" ht="19.75" customHeight="1" x14ac:dyDescent="0.25">
      <c r="A1404" s="9">
        <f>2010</f>
        <v>2010</v>
      </c>
      <c r="B1404" s="4" t="s">
        <v>52</v>
      </c>
      <c r="C1404" s="5">
        <v>317.42</v>
      </c>
      <c r="D1404" s="13">
        <v>200.80520000000001</v>
      </c>
    </row>
    <row r="1405" spans="1:4" s="1" customFormat="1" ht="19.75" customHeight="1" x14ac:dyDescent="0.25">
      <c r="A1405" s="9">
        <f>2010</f>
        <v>2010</v>
      </c>
      <c r="B1405" s="4" t="s">
        <v>51</v>
      </c>
      <c r="C1405" s="2">
        <v>394.02069999999998</v>
      </c>
      <c r="D1405" s="14">
        <v>192.85820000000001</v>
      </c>
    </row>
    <row r="1406" spans="1:4" s="1" customFormat="1" ht="19.75" customHeight="1" x14ac:dyDescent="0.25">
      <c r="A1406" s="9">
        <f>2010</f>
        <v>2010</v>
      </c>
      <c r="B1406" s="4" t="s">
        <v>50</v>
      </c>
      <c r="C1406" s="5">
        <v>2262.4029999999998</v>
      </c>
      <c r="D1406" s="13">
        <v>676.89369999999997</v>
      </c>
    </row>
    <row r="1407" spans="1:4" s="1" customFormat="1" ht="19.75" customHeight="1" x14ac:dyDescent="0.25">
      <c r="A1407" s="9">
        <f>2010</f>
        <v>2010</v>
      </c>
      <c r="B1407" s="4" t="s">
        <v>48</v>
      </c>
      <c r="C1407" s="2">
        <v>7786.2987999999996</v>
      </c>
      <c r="D1407" s="14">
        <v>5939.8002999999999</v>
      </c>
    </row>
    <row r="1408" spans="1:4" s="1" customFormat="1" ht="19.75" customHeight="1" x14ac:dyDescent="0.25">
      <c r="A1408" s="9">
        <f>2010</f>
        <v>2010</v>
      </c>
      <c r="B1408" s="4" t="s">
        <v>47</v>
      </c>
      <c r="C1408" s="5">
        <v>17592.570400000001</v>
      </c>
      <c r="D1408" s="13">
        <v>5859.8326999999999</v>
      </c>
    </row>
    <row r="1409" spans="1:4" s="1" customFormat="1" ht="19.75" customHeight="1" x14ac:dyDescent="0.25">
      <c r="A1409" s="9">
        <f>2010</f>
        <v>2010</v>
      </c>
      <c r="B1409" s="4" t="s">
        <v>46</v>
      </c>
      <c r="C1409" s="2">
        <v>1820.5787</v>
      </c>
      <c r="D1409" s="14">
        <v>736.00099999999998</v>
      </c>
    </row>
    <row r="1410" spans="1:4" s="1" customFormat="1" ht="19.75" customHeight="1" x14ac:dyDescent="0.25">
      <c r="A1410" s="9">
        <f>2010</f>
        <v>2010</v>
      </c>
      <c r="B1410" s="4" t="s">
        <v>45</v>
      </c>
      <c r="C1410" s="5">
        <v>1403.0545999999999</v>
      </c>
      <c r="D1410" s="13">
        <v>808.10400000000004</v>
      </c>
    </row>
    <row r="1411" spans="1:4" s="1" customFormat="1" ht="19.75" customHeight="1" x14ac:dyDescent="0.25">
      <c r="A1411" s="9">
        <f>2010</f>
        <v>2010</v>
      </c>
      <c r="B1411" s="4" t="s">
        <v>44</v>
      </c>
      <c r="C1411" s="2">
        <v>1937.5429999999999</v>
      </c>
      <c r="D1411" s="14">
        <v>577.36720000000003</v>
      </c>
    </row>
    <row r="1412" spans="1:4" s="1" customFormat="1" ht="19.75" customHeight="1" x14ac:dyDescent="0.25">
      <c r="A1412" s="9">
        <f>2010</f>
        <v>2010</v>
      </c>
      <c r="B1412" s="4" t="s">
        <v>43</v>
      </c>
      <c r="C1412" s="5">
        <v>1707.7935</v>
      </c>
      <c r="D1412" s="13">
        <v>386.04739999999998</v>
      </c>
    </row>
    <row r="1413" spans="1:4" s="1" customFormat="1" ht="19.75" customHeight="1" x14ac:dyDescent="0.25">
      <c r="A1413" s="9">
        <f>2010</f>
        <v>2010</v>
      </c>
      <c r="B1413" s="4" t="s">
        <v>42</v>
      </c>
      <c r="C1413" s="2">
        <v>1193.0465999999999</v>
      </c>
      <c r="D1413" s="14">
        <v>348.65320000000003</v>
      </c>
    </row>
    <row r="1414" spans="1:4" s="1" customFormat="1" ht="19.75" customHeight="1" x14ac:dyDescent="0.25">
      <c r="A1414" s="9">
        <f>2010</f>
        <v>2010</v>
      </c>
      <c r="B1414" s="4" t="s">
        <v>41</v>
      </c>
      <c r="C1414" s="5">
        <v>1397.4755</v>
      </c>
      <c r="D1414" s="13">
        <v>1189.3933999999999</v>
      </c>
    </row>
    <row r="1415" spans="1:4" s="1" customFormat="1" ht="19.75" customHeight="1" x14ac:dyDescent="0.25">
      <c r="A1415" s="9">
        <f>2010</f>
        <v>2010</v>
      </c>
      <c r="B1415" s="4" t="s">
        <v>40</v>
      </c>
      <c r="C1415" s="2">
        <v>660.19380000000001</v>
      </c>
      <c r="D1415" s="14">
        <v>186.47790000000001</v>
      </c>
    </row>
    <row r="1416" spans="1:4" s="1" customFormat="1" ht="19.75" customHeight="1" x14ac:dyDescent="0.25">
      <c r="A1416" s="9">
        <f>2010</f>
        <v>2010</v>
      </c>
      <c r="B1416" s="4" t="s">
        <v>38</v>
      </c>
      <c r="C1416" s="5">
        <v>130.58609999999999</v>
      </c>
      <c r="D1416" s="13">
        <v>44.785800000000002</v>
      </c>
    </row>
    <row r="1417" spans="1:4" s="1" customFormat="1" ht="19.75" customHeight="1" x14ac:dyDescent="0.25">
      <c r="A1417" s="9">
        <f>2010</f>
        <v>2010</v>
      </c>
      <c r="B1417" s="4" t="s">
        <v>37</v>
      </c>
      <c r="C1417" s="2">
        <v>85.247100000000003</v>
      </c>
      <c r="D1417" s="14">
        <v>38.703699999999998</v>
      </c>
    </row>
    <row r="1418" spans="1:4" s="1" customFormat="1" ht="19.75" customHeight="1" x14ac:dyDescent="0.25">
      <c r="A1418" s="9">
        <f>2010</f>
        <v>2010</v>
      </c>
      <c r="B1418" s="4" t="s">
        <v>35</v>
      </c>
      <c r="C1418" s="5">
        <v>32.743400000000001</v>
      </c>
      <c r="D1418" s="13">
        <v>9.9627999999999997</v>
      </c>
    </row>
    <row r="1419" spans="1:4" s="1" customFormat="1" ht="19.75" customHeight="1" x14ac:dyDescent="0.25">
      <c r="A1419" s="9">
        <f>2010</f>
        <v>2010</v>
      </c>
      <c r="B1419" s="4" t="s">
        <v>34</v>
      </c>
      <c r="C1419" s="2">
        <v>1367.4284</v>
      </c>
      <c r="D1419" s="14">
        <v>366.1814</v>
      </c>
    </row>
    <row r="1420" spans="1:4" s="1" customFormat="1" ht="19.75" customHeight="1" x14ac:dyDescent="0.25">
      <c r="A1420" s="9">
        <f>2010</f>
        <v>2010</v>
      </c>
      <c r="B1420" s="4" t="s">
        <v>33</v>
      </c>
      <c r="C1420" s="5">
        <v>743.8519</v>
      </c>
      <c r="D1420" s="13">
        <v>231.44929999999999</v>
      </c>
    </row>
    <row r="1421" spans="1:4" s="1" customFormat="1" ht="19.75" customHeight="1" x14ac:dyDescent="0.25">
      <c r="A1421" s="9">
        <f>2010</f>
        <v>2010</v>
      </c>
      <c r="B1421" s="4" t="s">
        <v>31</v>
      </c>
      <c r="C1421" s="2">
        <v>1581.7570000000001</v>
      </c>
      <c r="D1421" s="14">
        <v>500.15309999999999</v>
      </c>
    </row>
    <row r="1422" spans="1:4" s="1" customFormat="1" ht="19.75" customHeight="1" x14ac:dyDescent="0.25">
      <c r="A1422" s="9">
        <f>2010</f>
        <v>2010</v>
      </c>
      <c r="B1422" s="4" t="s">
        <v>30</v>
      </c>
      <c r="C1422" s="5">
        <v>0.43240000000000001</v>
      </c>
      <c r="D1422" s="13">
        <v>6.7035999999999998</v>
      </c>
    </row>
    <row r="1423" spans="1:4" s="1" customFormat="1" ht="19.75" customHeight="1" x14ac:dyDescent="0.25">
      <c r="A1423" s="9">
        <f>2010</f>
        <v>2010</v>
      </c>
      <c r="B1423" s="4" t="s">
        <v>29</v>
      </c>
      <c r="C1423" s="2">
        <v>20.084099999999999</v>
      </c>
      <c r="D1423" s="14">
        <v>13.0708</v>
      </c>
    </row>
    <row r="1424" spans="1:4" s="1" customFormat="1" ht="19.75" customHeight="1" x14ac:dyDescent="0.25">
      <c r="A1424" s="9">
        <f>2010</f>
        <v>2010</v>
      </c>
      <c r="B1424" s="4" t="s">
        <v>91</v>
      </c>
      <c r="C1424" s="5">
        <v>32.1462</v>
      </c>
      <c r="D1424" s="13">
        <v>321.41649999999998</v>
      </c>
    </row>
    <row r="1425" spans="1:4" s="1" customFormat="1" ht="19.75" customHeight="1" x14ac:dyDescent="0.25">
      <c r="A1425" s="9">
        <f>2010</f>
        <v>2010</v>
      </c>
      <c r="B1425" s="4" t="s">
        <v>27</v>
      </c>
      <c r="C1425" s="2">
        <v>185.99250000000001</v>
      </c>
      <c r="D1425" s="14">
        <v>243.85980000000001</v>
      </c>
    </row>
    <row r="1426" spans="1:4" s="1" customFormat="1" ht="19.75" customHeight="1" x14ac:dyDescent="0.25">
      <c r="A1426" s="9">
        <f>2010</f>
        <v>2010</v>
      </c>
      <c r="B1426" s="4" t="s">
        <v>26</v>
      </c>
      <c r="C1426" s="5">
        <v>26.510300000000001</v>
      </c>
      <c r="D1426" s="13">
        <v>16.8233</v>
      </c>
    </row>
    <row r="1427" spans="1:4" s="1" customFormat="1" ht="19.75" customHeight="1" x14ac:dyDescent="0.25">
      <c r="A1427" s="9">
        <f>2010</f>
        <v>2010</v>
      </c>
      <c r="B1427" s="4" t="s">
        <v>25</v>
      </c>
      <c r="C1427" s="2">
        <v>3.7816000000000001</v>
      </c>
      <c r="D1427" s="14">
        <v>3.5651999999999999</v>
      </c>
    </row>
    <row r="1428" spans="1:4" s="1" customFormat="1" ht="19.75" customHeight="1" x14ac:dyDescent="0.25">
      <c r="A1428" s="9">
        <f>2010</f>
        <v>2010</v>
      </c>
      <c r="B1428" s="4" t="s">
        <v>24</v>
      </c>
      <c r="C1428" s="5">
        <v>180.80840000000001</v>
      </c>
      <c r="D1428" s="13">
        <v>45.652299999999997</v>
      </c>
    </row>
    <row r="1429" spans="1:4" s="1" customFormat="1" ht="19.75" customHeight="1" x14ac:dyDescent="0.25">
      <c r="A1429" s="9">
        <f>2010</f>
        <v>2010</v>
      </c>
      <c r="B1429" s="4" t="s">
        <v>23</v>
      </c>
      <c r="C1429" s="2">
        <v>698.07730000000004</v>
      </c>
      <c r="D1429" s="14">
        <v>780.14009999999996</v>
      </c>
    </row>
    <row r="1430" spans="1:4" s="1" customFormat="1" ht="19.75" customHeight="1" x14ac:dyDescent="0.25">
      <c r="A1430" s="9">
        <f>2010</f>
        <v>2010</v>
      </c>
      <c r="B1430" s="4" t="s">
        <v>22</v>
      </c>
      <c r="C1430" s="5">
        <v>142.99119999999999</v>
      </c>
      <c r="D1430" s="13">
        <v>238.15350000000001</v>
      </c>
    </row>
    <row r="1431" spans="1:4" s="1" customFormat="1" ht="19.75" customHeight="1" x14ac:dyDescent="0.25">
      <c r="A1431" s="9">
        <f>2010</f>
        <v>2010</v>
      </c>
      <c r="B1431" s="4" t="s">
        <v>21</v>
      </c>
      <c r="C1431" s="2">
        <v>2016.7626</v>
      </c>
      <c r="D1431" s="14">
        <v>2354.3155000000002</v>
      </c>
    </row>
    <row r="1432" spans="1:4" s="1" customFormat="1" ht="19.75" customHeight="1" x14ac:dyDescent="0.25">
      <c r="A1432" s="9">
        <f>2010</f>
        <v>2010</v>
      </c>
      <c r="B1432" s="4" t="s">
        <v>20</v>
      </c>
      <c r="C1432" s="5">
        <v>101.3214</v>
      </c>
      <c r="D1432" s="13">
        <v>80.301199999999994</v>
      </c>
    </row>
    <row r="1433" spans="1:4" s="1" customFormat="1" ht="19.75" customHeight="1" x14ac:dyDescent="0.25">
      <c r="A1433" s="9">
        <f>2010</f>
        <v>2010</v>
      </c>
      <c r="B1433" s="4" t="s">
        <v>19</v>
      </c>
      <c r="C1433" s="2">
        <v>2.9668999999999999</v>
      </c>
      <c r="D1433" s="14">
        <v>12.381399999999999</v>
      </c>
    </row>
    <row r="1434" spans="1:4" s="1" customFormat="1" ht="19.75" customHeight="1" x14ac:dyDescent="0.25">
      <c r="A1434" s="9">
        <f>2010</f>
        <v>2010</v>
      </c>
      <c r="B1434" s="4" t="s">
        <v>18</v>
      </c>
      <c r="C1434" s="5">
        <v>317.601</v>
      </c>
      <c r="D1434" s="13">
        <v>167.7218</v>
      </c>
    </row>
    <row r="1435" spans="1:4" s="1" customFormat="1" ht="19.75" customHeight="1" x14ac:dyDescent="0.25">
      <c r="A1435" s="9">
        <f>2010</f>
        <v>2010</v>
      </c>
      <c r="B1435" s="4" t="s">
        <v>17</v>
      </c>
      <c r="C1435" s="2">
        <v>302.34989999999999</v>
      </c>
      <c r="D1435" s="14">
        <v>956.3836</v>
      </c>
    </row>
    <row r="1436" spans="1:4" s="1" customFormat="1" ht="19.75" customHeight="1" x14ac:dyDescent="0.25">
      <c r="A1436" s="9">
        <f>2010</f>
        <v>2010</v>
      </c>
      <c r="B1436" s="4" t="s">
        <v>94</v>
      </c>
      <c r="C1436" s="5">
        <v>0.97550000000000003</v>
      </c>
      <c r="D1436" s="13">
        <v>53.856499999999997</v>
      </c>
    </row>
    <row r="1437" spans="1:4" s="1" customFormat="1" ht="19.75" customHeight="1" x14ac:dyDescent="0.25">
      <c r="A1437" s="9">
        <f>2010</f>
        <v>2010</v>
      </c>
      <c r="B1437" s="4" t="s">
        <v>16</v>
      </c>
      <c r="C1437" s="2">
        <v>1914.6572000000001</v>
      </c>
      <c r="D1437" s="14">
        <v>1950.1215</v>
      </c>
    </row>
    <row r="1438" spans="1:4" s="1" customFormat="1" ht="19.75" customHeight="1" x14ac:dyDescent="0.25">
      <c r="A1438" s="9">
        <f>2010</f>
        <v>2010</v>
      </c>
      <c r="B1438" s="4" t="s">
        <v>15</v>
      </c>
      <c r="C1438" s="5">
        <v>8.4771999999999998</v>
      </c>
      <c r="D1438" s="13">
        <v>6.5701999999999998</v>
      </c>
    </row>
    <row r="1439" spans="1:4" s="1" customFormat="1" ht="19.75" customHeight="1" x14ac:dyDescent="0.25">
      <c r="A1439" s="9">
        <f>2010</f>
        <v>2010</v>
      </c>
      <c r="B1439" s="4" t="s">
        <v>13</v>
      </c>
      <c r="C1439" s="2">
        <v>179.87729999999999</v>
      </c>
      <c r="D1439" s="14">
        <v>163.00190000000001</v>
      </c>
    </row>
    <row r="1440" spans="1:4" s="1" customFormat="1" ht="19.75" customHeight="1" x14ac:dyDescent="0.25">
      <c r="A1440" s="9">
        <f>2010</f>
        <v>2010</v>
      </c>
      <c r="B1440" s="4" t="s">
        <v>90</v>
      </c>
      <c r="C1440" s="6"/>
      <c r="D1440" s="13">
        <v>7.6783999999999999</v>
      </c>
    </row>
    <row r="1441" spans="1:4" s="1" customFormat="1" ht="19.75" customHeight="1" x14ac:dyDescent="0.25">
      <c r="A1441" s="9">
        <f>2010</f>
        <v>2010</v>
      </c>
      <c r="B1441" s="4" t="s">
        <v>88</v>
      </c>
      <c r="C1441" s="2">
        <v>8.0151000000000003</v>
      </c>
      <c r="D1441" s="14">
        <v>10.7768</v>
      </c>
    </row>
    <row r="1442" spans="1:4" s="1" customFormat="1" ht="19.75" customHeight="1" x14ac:dyDescent="0.25">
      <c r="A1442" s="9">
        <f>2010</f>
        <v>2010</v>
      </c>
      <c r="B1442" s="4" t="s">
        <v>11</v>
      </c>
      <c r="C1442" s="5">
        <v>3.6612</v>
      </c>
      <c r="D1442" s="13">
        <v>3.9081999999999999</v>
      </c>
    </row>
    <row r="1443" spans="1:4" s="1" customFormat="1" ht="19.75" customHeight="1" x14ac:dyDescent="0.25">
      <c r="A1443" s="9">
        <f>2010</f>
        <v>2010</v>
      </c>
      <c r="B1443" s="4" t="s">
        <v>10</v>
      </c>
      <c r="C1443" s="2">
        <v>0.1134</v>
      </c>
      <c r="D1443" s="14">
        <v>8.3554999999999993</v>
      </c>
    </row>
    <row r="1444" spans="1:4" s="1" customFormat="1" ht="19.75" customHeight="1" x14ac:dyDescent="0.25">
      <c r="A1444" s="9">
        <f>2010</f>
        <v>2010</v>
      </c>
      <c r="B1444" s="4" t="s">
        <v>9</v>
      </c>
      <c r="C1444" s="5">
        <v>50.579300000000003</v>
      </c>
      <c r="D1444" s="13">
        <v>46.043700000000001</v>
      </c>
    </row>
    <row r="1445" spans="1:4" s="1" customFormat="1" ht="19.75" customHeight="1" x14ac:dyDescent="0.25">
      <c r="A1445" s="9">
        <f>2010</f>
        <v>2010</v>
      </c>
      <c r="B1445" s="4" t="s">
        <v>8</v>
      </c>
      <c r="C1445" s="2">
        <v>126.3738</v>
      </c>
      <c r="D1445" s="14">
        <v>50.778199999999998</v>
      </c>
    </row>
    <row r="1446" spans="1:4" s="1" customFormat="1" ht="19.75" customHeight="1" x14ac:dyDescent="0.25">
      <c r="A1446" s="9">
        <f>2010</f>
        <v>2010</v>
      </c>
      <c r="B1446" s="4" t="s">
        <v>7</v>
      </c>
      <c r="C1446" s="6"/>
      <c r="D1446" s="13">
        <v>0.2525</v>
      </c>
    </row>
    <row r="1447" spans="1:4" s="1" customFormat="1" ht="19.75" customHeight="1" x14ac:dyDescent="0.25">
      <c r="A1447" s="9">
        <f>2010</f>
        <v>2010</v>
      </c>
      <c r="B1447" s="4" t="s">
        <v>6</v>
      </c>
      <c r="C1447" s="2">
        <v>35.663800000000002</v>
      </c>
      <c r="D1447" s="14">
        <v>7.1748000000000003</v>
      </c>
    </row>
    <row r="1448" spans="1:4" s="1" customFormat="1" ht="19.75" customHeight="1" x14ac:dyDescent="0.25">
      <c r="A1448" s="9">
        <f>2010</f>
        <v>2010</v>
      </c>
      <c r="B1448" s="4" t="s">
        <v>5</v>
      </c>
      <c r="C1448" s="5">
        <v>22.2057</v>
      </c>
      <c r="D1448" s="13">
        <v>13.2746</v>
      </c>
    </row>
    <row r="1449" spans="1:4" s="1" customFormat="1" ht="19.75" customHeight="1" x14ac:dyDescent="0.25">
      <c r="A1449" s="9">
        <f>2010</f>
        <v>2010</v>
      </c>
      <c r="B1449" s="4" t="s">
        <v>4</v>
      </c>
      <c r="C1449" s="2">
        <v>44.177500000000002</v>
      </c>
      <c r="D1449" s="14">
        <v>62.357900000000001</v>
      </c>
    </row>
    <row r="1450" spans="1:4" s="1" customFormat="1" ht="19.75" customHeight="1" x14ac:dyDescent="0.25">
      <c r="A1450" s="9">
        <f>2010</f>
        <v>2010</v>
      </c>
      <c r="B1450" s="4" t="s">
        <v>3</v>
      </c>
      <c r="C1450" s="5">
        <v>0.71309999999999996</v>
      </c>
      <c r="D1450" s="13">
        <v>3.9702000000000002</v>
      </c>
    </row>
    <row r="1451" spans="1:4" s="1" customFormat="1" ht="19.75" customHeight="1" x14ac:dyDescent="0.25">
      <c r="A1451" s="9">
        <f>2010</f>
        <v>2010</v>
      </c>
      <c r="B1451" s="4" t="s">
        <v>2</v>
      </c>
      <c r="C1451" s="2">
        <v>1783.7816</v>
      </c>
      <c r="D1451" s="14">
        <v>2418.9744999999998</v>
      </c>
    </row>
    <row r="1452" spans="1:4" s="1" customFormat="1" ht="19.75" customHeight="1" x14ac:dyDescent="0.25">
      <c r="A1452" s="9">
        <f>2010</f>
        <v>2010</v>
      </c>
      <c r="B1452" s="4" t="s">
        <v>93</v>
      </c>
      <c r="C1452" s="5">
        <v>714.11500000000001</v>
      </c>
      <c r="D1452" s="13">
        <v>996.28390000000002</v>
      </c>
    </row>
    <row r="1453" spans="1:4" s="1" customFormat="1" ht="19.75" customHeight="1" x14ac:dyDescent="0.25">
      <c r="A1453" s="9">
        <f>2010</f>
        <v>2010</v>
      </c>
      <c r="B1453" s="4" t="s">
        <v>89</v>
      </c>
      <c r="C1453" s="2">
        <v>12.6563</v>
      </c>
      <c r="D1453" s="14">
        <v>58.049199999999999</v>
      </c>
    </row>
    <row r="1454" spans="1:4" s="1" customFormat="1" ht="19.75" customHeight="1" x14ac:dyDescent="0.25">
      <c r="A1454" s="9">
        <f>2009</f>
        <v>2009</v>
      </c>
      <c r="B1454" s="4" t="s">
        <v>87</v>
      </c>
      <c r="C1454" s="5">
        <v>2707.0576999999998</v>
      </c>
      <c r="D1454" s="13">
        <v>787.43709999999999</v>
      </c>
    </row>
    <row r="1455" spans="1:4" s="1" customFormat="1" ht="19.75" customHeight="1" x14ac:dyDescent="0.25">
      <c r="A1455" s="9">
        <f>2009</f>
        <v>2009</v>
      </c>
      <c r="B1455" s="4" t="s">
        <v>86</v>
      </c>
      <c r="C1455" s="2">
        <v>4242.7105000000001</v>
      </c>
      <c r="D1455" s="14">
        <v>933.14340000000004</v>
      </c>
    </row>
    <row r="1456" spans="1:4" s="1" customFormat="1" ht="19.75" customHeight="1" x14ac:dyDescent="0.25">
      <c r="A1456" s="9">
        <f>2009</f>
        <v>2009</v>
      </c>
      <c r="B1456" s="4" t="s">
        <v>85</v>
      </c>
      <c r="C1456" s="5">
        <v>42915.293700000002</v>
      </c>
      <c r="D1456" s="13">
        <v>15648.704400000001</v>
      </c>
    </row>
    <row r="1457" spans="1:4" s="1" customFormat="1" ht="19.75" customHeight="1" x14ac:dyDescent="0.25">
      <c r="A1457" s="9">
        <f>2009</f>
        <v>2009</v>
      </c>
      <c r="B1457" s="4" t="s">
        <v>84</v>
      </c>
      <c r="C1457" s="2">
        <v>1979.4344000000001</v>
      </c>
      <c r="D1457" s="14">
        <v>460.03519999999997</v>
      </c>
    </row>
    <row r="1458" spans="1:4" s="1" customFormat="1" ht="19.75" customHeight="1" x14ac:dyDescent="0.25">
      <c r="A1458" s="9">
        <f>2009</f>
        <v>2009</v>
      </c>
      <c r="B1458" s="4" t="s">
        <v>83</v>
      </c>
      <c r="C1458" s="5">
        <v>2409.0194000000001</v>
      </c>
      <c r="D1458" s="13">
        <v>665.09180000000003</v>
      </c>
    </row>
    <row r="1459" spans="1:4" s="1" customFormat="1" ht="19.75" customHeight="1" x14ac:dyDescent="0.25">
      <c r="A1459" s="9">
        <f>2009</f>
        <v>2009</v>
      </c>
      <c r="B1459" s="4" t="s">
        <v>82</v>
      </c>
      <c r="C1459" s="2">
        <v>4676.3173999999999</v>
      </c>
      <c r="D1459" s="14">
        <v>793.92259999999999</v>
      </c>
    </row>
    <row r="1460" spans="1:4" s="1" customFormat="1" ht="19.75" customHeight="1" x14ac:dyDescent="0.25">
      <c r="A1460" s="9">
        <f>2009</f>
        <v>2009</v>
      </c>
      <c r="B1460" s="4" t="s">
        <v>80</v>
      </c>
      <c r="C1460" s="5">
        <v>2840.6007</v>
      </c>
      <c r="D1460" s="13">
        <v>799.37400000000002</v>
      </c>
    </row>
    <row r="1461" spans="1:4" s="1" customFormat="1" ht="19.75" customHeight="1" x14ac:dyDescent="0.25">
      <c r="A1461" s="9">
        <f>2009</f>
        <v>2009</v>
      </c>
      <c r="B1461" s="4" t="s">
        <v>79</v>
      </c>
      <c r="C1461" s="2">
        <v>5206.0613000000003</v>
      </c>
      <c r="D1461" s="14">
        <v>1399.4384</v>
      </c>
    </row>
    <row r="1462" spans="1:4" s="1" customFormat="1" ht="19.75" customHeight="1" x14ac:dyDescent="0.25">
      <c r="A1462" s="9">
        <f>2009</f>
        <v>2009</v>
      </c>
      <c r="B1462" s="4" t="s">
        <v>78</v>
      </c>
      <c r="C1462" s="5">
        <v>3747.712</v>
      </c>
      <c r="D1462" s="13">
        <v>1104.2578000000001</v>
      </c>
    </row>
    <row r="1463" spans="1:4" s="1" customFormat="1" ht="19.75" customHeight="1" x14ac:dyDescent="0.25">
      <c r="A1463" s="9">
        <f>2009</f>
        <v>2009</v>
      </c>
      <c r="B1463" s="4" t="s">
        <v>77</v>
      </c>
      <c r="C1463" s="2">
        <v>9968.1676000000007</v>
      </c>
      <c r="D1463" s="14">
        <v>3576.0617000000002</v>
      </c>
    </row>
    <row r="1464" spans="1:4" s="1" customFormat="1" ht="19.75" customHeight="1" x14ac:dyDescent="0.25">
      <c r="A1464" s="9">
        <f>2009</f>
        <v>2009</v>
      </c>
      <c r="B1464" s="4" t="s">
        <v>76</v>
      </c>
      <c r="C1464" s="5">
        <v>10848.453100000001</v>
      </c>
      <c r="D1464" s="13">
        <v>3093.9632999999999</v>
      </c>
    </row>
    <row r="1465" spans="1:4" s="1" customFormat="1" ht="19.75" customHeight="1" x14ac:dyDescent="0.25">
      <c r="A1465" s="9">
        <f>2009</f>
        <v>2009</v>
      </c>
      <c r="B1465" s="4" t="s">
        <v>75</v>
      </c>
      <c r="C1465" s="2">
        <v>3035.0347999999999</v>
      </c>
      <c r="D1465" s="14">
        <v>963.01840000000004</v>
      </c>
    </row>
    <row r="1466" spans="1:4" s="1" customFormat="1" ht="19.75" customHeight="1" x14ac:dyDescent="0.25">
      <c r="A1466" s="9">
        <f>2009</f>
        <v>2009</v>
      </c>
      <c r="B1466" s="4" t="s">
        <v>74</v>
      </c>
      <c r="C1466" s="5">
        <v>12401.246300000001</v>
      </c>
      <c r="D1466" s="13">
        <v>3065.2474999999999</v>
      </c>
    </row>
    <row r="1467" spans="1:4" s="1" customFormat="1" ht="19.75" customHeight="1" x14ac:dyDescent="0.25">
      <c r="A1467" s="9">
        <f>2009</f>
        <v>2009</v>
      </c>
      <c r="B1467" s="4" t="s">
        <v>73</v>
      </c>
      <c r="C1467" s="2">
        <v>8226.7153999999991</v>
      </c>
      <c r="D1467" s="14">
        <v>1861.7002</v>
      </c>
    </row>
    <row r="1468" spans="1:4" s="1" customFormat="1" ht="19.75" customHeight="1" x14ac:dyDescent="0.25">
      <c r="A1468" s="9">
        <f>2009</f>
        <v>2009</v>
      </c>
      <c r="B1468" s="4" t="s">
        <v>72</v>
      </c>
      <c r="C1468" s="5">
        <v>4376.3747999999996</v>
      </c>
      <c r="D1468" s="13">
        <v>1046.5766000000001</v>
      </c>
    </row>
    <row r="1469" spans="1:4" s="1" customFormat="1" ht="19.75" customHeight="1" x14ac:dyDescent="0.25">
      <c r="A1469" s="9">
        <f>2009</f>
        <v>2009</v>
      </c>
      <c r="B1469" s="4" t="s">
        <v>71</v>
      </c>
      <c r="C1469" s="2">
        <v>2383.0709000000002</v>
      </c>
      <c r="D1469" s="14">
        <v>768.19</v>
      </c>
    </row>
    <row r="1470" spans="1:4" s="1" customFormat="1" ht="19.75" customHeight="1" x14ac:dyDescent="0.25">
      <c r="A1470" s="9">
        <f>2009</f>
        <v>2009</v>
      </c>
      <c r="B1470" s="4" t="s">
        <v>92</v>
      </c>
      <c r="C1470" s="5">
        <v>10305.715399999999</v>
      </c>
      <c r="D1470" s="13">
        <v>1337.914</v>
      </c>
    </row>
    <row r="1471" spans="1:4" s="1" customFormat="1" ht="19.75" customHeight="1" x14ac:dyDescent="0.25">
      <c r="A1471" s="9">
        <f>2009</f>
        <v>2009</v>
      </c>
      <c r="B1471" s="4" t="s">
        <v>69</v>
      </c>
      <c r="C1471" s="2">
        <v>4221.8181999999997</v>
      </c>
      <c r="D1471" s="14">
        <v>1588.1261999999999</v>
      </c>
    </row>
    <row r="1472" spans="1:4" s="1" customFormat="1" ht="19.75" customHeight="1" x14ac:dyDescent="0.25">
      <c r="A1472" s="9">
        <f>2009</f>
        <v>2009</v>
      </c>
      <c r="B1472" s="4" t="s">
        <v>68</v>
      </c>
      <c r="C1472" s="5">
        <v>6771.8135000000002</v>
      </c>
      <c r="D1472" s="13">
        <v>1941.6943000000001</v>
      </c>
    </row>
    <row r="1473" spans="1:4" s="1" customFormat="1" ht="19.75" customHeight="1" x14ac:dyDescent="0.25">
      <c r="A1473" s="9">
        <f>2009</f>
        <v>2009</v>
      </c>
      <c r="B1473" s="4" t="s">
        <v>67</v>
      </c>
      <c r="C1473" s="2">
        <v>6859.9748</v>
      </c>
      <c r="D1473" s="14">
        <v>1397.8411000000001</v>
      </c>
    </row>
    <row r="1474" spans="1:4" s="1" customFormat="1" ht="19.75" customHeight="1" x14ac:dyDescent="0.25">
      <c r="A1474" s="9">
        <f>2009</f>
        <v>2009</v>
      </c>
      <c r="B1474" s="4" t="s">
        <v>66</v>
      </c>
      <c r="C1474" s="5">
        <v>2235.3085000000001</v>
      </c>
      <c r="D1474" s="13">
        <v>697.83849999999995</v>
      </c>
    </row>
    <row r="1475" spans="1:4" s="1" customFormat="1" ht="19.75" customHeight="1" x14ac:dyDescent="0.25">
      <c r="A1475" s="9">
        <f>2009</f>
        <v>2009</v>
      </c>
      <c r="B1475" s="4" t="s">
        <v>65</v>
      </c>
      <c r="C1475" s="2">
        <v>12295.303599999999</v>
      </c>
      <c r="D1475" s="14">
        <v>4206.2016999999996</v>
      </c>
    </row>
    <row r="1476" spans="1:4" s="1" customFormat="1" ht="19.75" customHeight="1" x14ac:dyDescent="0.25">
      <c r="A1476" s="9">
        <f>2009</f>
        <v>2009</v>
      </c>
      <c r="B1476" s="4" t="s">
        <v>64</v>
      </c>
      <c r="C1476" s="5">
        <v>6977.598</v>
      </c>
      <c r="D1476" s="13">
        <v>1790.9675999999999</v>
      </c>
    </row>
    <row r="1477" spans="1:4" s="1" customFormat="1" ht="19.75" customHeight="1" x14ac:dyDescent="0.25">
      <c r="A1477" s="9">
        <f>2009</f>
        <v>2009</v>
      </c>
      <c r="B1477" s="4" t="s">
        <v>63</v>
      </c>
      <c r="C1477" s="2">
        <v>6476.6755999999996</v>
      </c>
      <c r="D1477" s="14">
        <v>1462.9873</v>
      </c>
    </row>
    <row r="1478" spans="1:4" s="1" customFormat="1" ht="19.75" customHeight="1" x14ac:dyDescent="0.25">
      <c r="A1478" s="9">
        <f>2009</f>
        <v>2009</v>
      </c>
      <c r="B1478" s="4" t="s">
        <v>62</v>
      </c>
      <c r="C1478" s="5">
        <v>8075.8131000000003</v>
      </c>
      <c r="D1478" s="13">
        <v>2214.1145999999999</v>
      </c>
    </row>
    <row r="1479" spans="1:4" s="1" customFormat="1" ht="19.75" customHeight="1" x14ac:dyDescent="0.25">
      <c r="A1479" s="9">
        <f>2009</f>
        <v>2009</v>
      </c>
      <c r="B1479" s="4" t="s">
        <v>61</v>
      </c>
      <c r="C1479" s="2">
        <v>3150.3620000000001</v>
      </c>
      <c r="D1479" s="14">
        <v>975.13490000000002</v>
      </c>
    </row>
    <row r="1480" spans="1:4" s="1" customFormat="1" ht="19.75" customHeight="1" x14ac:dyDescent="0.25">
      <c r="A1480" s="9">
        <f>2009</f>
        <v>2009</v>
      </c>
      <c r="B1480" s="4" t="s">
        <v>60</v>
      </c>
      <c r="C1480" s="5">
        <v>4113.0243</v>
      </c>
      <c r="D1480" s="13">
        <v>924.69970000000001</v>
      </c>
    </row>
    <row r="1481" spans="1:4" s="1" customFormat="1" ht="19.75" customHeight="1" x14ac:dyDescent="0.25">
      <c r="A1481" s="9">
        <f>2009</f>
        <v>2009</v>
      </c>
      <c r="B1481" s="4" t="s">
        <v>59</v>
      </c>
      <c r="C1481" s="2">
        <v>7149.2741999999998</v>
      </c>
      <c r="D1481" s="14">
        <v>2858.2127</v>
      </c>
    </row>
    <row r="1482" spans="1:4" s="1" customFormat="1" ht="19.75" customHeight="1" x14ac:dyDescent="0.25">
      <c r="A1482" s="9">
        <f>2009</f>
        <v>2009</v>
      </c>
      <c r="B1482" s="4" t="s">
        <v>57</v>
      </c>
      <c r="C1482" s="5">
        <v>998.45270000000005</v>
      </c>
      <c r="D1482" s="13">
        <v>315.0095</v>
      </c>
    </row>
    <row r="1483" spans="1:4" s="1" customFormat="1" ht="19.75" customHeight="1" x14ac:dyDescent="0.25">
      <c r="A1483" s="9">
        <f>2009</f>
        <v>2009</v>
      </c>
      <c r="B1483" s="4" t="s">
        <v>54</v>
      </c>
      <c r="C1483" s="2">
        <v>561.83280000000002</v>
      </c>
      <c r="D1483" s="14">
        <v>139.5292</v>
      </c>
    </row>
    <row r="1484" spans="1:4" s="1" customFormat="1" ht="19.75" customHeight="1" x14ac:dyDescent="0.25">
      <c r="A1484" s="9">
        <f>2009</f>
        <v>2009</v>
      </c>
      <c r="B1484" s="4" t="s">
        <v>53</v>
      </c>
      <c r="C1484" s="5">
        <v>390.88330000000002</v>
      </c>
      <c r="D1484" s="13">
        <v>186.5094</v>
      </c>
    </row>
    <row r="1485" spans="1:4" s="1" customFormat="1" ht="19.75" customHeight="1" x14ac:dyDescent="0.25">
      <c r="A1485" s="9">
        <f>2009</f>
        <v>2009</v>
      </c>
      <c r="B1485" s="4" t="s">
        <v>52</v>
      </c>
      <c r="C1485" s="2">
        <v>447.9511</v>
      </c>
      <c r="D1485" s="14">
        <v>241.98070000000001</v>
      </c>
    </row>
    <row r="1486" spans="1:4" s="1" customFormat="1" ht="19.75" customHeight="1" x14ac:dyDescent="0.25">
      <c r="A1486" s="9">
        <f>2009</f>
        <v>2009</v>
      </c>
      <c r="B1486" s="4" t="s">
        <v>51</v>
      </c>
      <c r="C1486" s="5">
        <v>286.79579999999999</v>
      </c>
      <c r="D1486" s="13">
        <v>113.074</v>
      </c>
    </row>
    <row r="1487" spans="1:4" s="1" customFormat="1" ht="19.75" customHeight="1" x14ac:dyDescent="0.25">
      <c r="A1487" s="9">
        <f>2009</f>
        <v>2009</v>
      </c>
      <c r="B1487" s="4" t="s">
        <v>50</v>
      </c>
      <c r="C1487" s="2">
        <v>1999.9238</v>
      </c>
      <c r="D1487" s="14">
        <v>571.45569999999998</v>
      </c>
    </row>
    <row r="1488" spans="1:4" s="1" customFormat="1" ht="19.75" customHeight="1" x14ac:dyDescent="0.25">
      <c r="A1488" s="9">
        <f>2009</f>
        <v>2009</v>
      </c>
      <c r="B1488" s="4" t="s">
        <v>48</v>
      </c>
      <c r="C1488" s="5">
        <v>8911.1044000000002</v>
      </c>
      <c r="D1488" s="13">
        <v>5532.8058000000001</v>
      </c>
    </row>
    <row r="1489" spans="1:4" s="1" customFormat="1" ht="19.75" customHeight="1" x14ac:dyDescent="0.25">
      <c r="A1489" s="9">
        <f>2009</f>
        <v>2009</v>
      </c>
      <c r="B1489" s="4" t="s">
        <v>47</v>
      </c>
      <c r="C1489" s="2">
        <v>22725.934300000001</v>
      </c>
      <c r="D1489" s="14">
        <v>7045.1136999999999</v>
      </c>
    </row>
    <row r="1490" spans="1:4" s="1" customFormat="1" ht="19.75" customHeight="1" x14ac:dyDescent="0.25">
      <c r="A1490" s="9">
        <f>2009</f>
        <v>2009</v>
      </c>
      <c r="B1490" s="4" t="s">
        <v>46</v>
      </c>
      <c r="C1490" s="5">
        <v>1850.4413999999999</v>
      </c>
      <c r="D1490" s="13">
        <v>547.03409999999997</v>
      </c>
    </row>
    <row r="1491" spans="1:4" s="1" customFormat="1" ht="19.75" customHeight="1" x14ac:dyDescent="0.25">
      <c r="A1491" s="9">
        <f>2009</f>
        <v>2009</v>
      </c>
      <c r="B1491" s="4" t="s">
        <v>45</v>
      </c>
      <c r="C1491" s="2">
        <v>1590.2699</v>
      </c>
      <c r="D1491" s="14">
        <v>772.46979999999996</v>
      </c>
    </row>
    <row r="1492" spans="1:4" s="1" customFormat="1" ht="19.75" customHeight="1" x14ac:dyDescent="0.25">
      <c r="A1492" s="9">
        <f>2009</f>
        <v>2009</v>
      </c>
      <c r="B1492" s="4" t="s">
        <v>44</v>
      </c>
      <c r="C1492" s="5">
        <v>1987.8612000000001</v>
      </c>
      <c r="D1492" s="13">
        <v>470.86070000000001</v>
      </c>
    </row>
    <row r="1493" spans="1:4" s="1" customFormat="1" ht="19.75" customHeight="1" x14ac:dyDescent="0.25">
      <c r="A1493" s="9">
        <f>2009</f>
        <v>2009</v>
      </c>
      <c r="B1493" s="4" t="s">
        <v>43</v>
      </c>
      <c r="C1493" s="2">
        <v>1443.8276000000001</v>
      </c>
      <c r="D1493" s="14">
        <v>346.51010000000002</v>
      </c>
    </row>
    <row r="1494" spans="1:4" s="1" customFormat="1" ht="19.75" customHeight="1" x14ac:dyDescent="0.25">
      <c r="A1494" s="9">
        <f>2009</f>
        <v>2009</v>
      </c>
      <c r="B1494" s="4" t="s">
        <v>42</v>
      </c>
      <c r="C1494" s="5">
        <v>1035.6808000000001</v>
      </c>
      <c r="D1494" s="13">
        <v>257.59640000000002</v>
      </c>
    </row>
    <row r="1495" spans="1:4" s="1" customFormat="1" ht="19.75" customHeight="1" x14ac:dyDescent="0.25">
      <c r="A1495" s="9">
        <f>2009</f>
        <v>2009</v>
      </c>
      <c r="B1495" s="4" t="s">
        <v>41</v>
      </c>
      <c r="C1495" s="2">
        <v>1546.5975000000001</v>
      </c>
      <c r="D1495" s="14">
        <v>1196.4229</v>
      </c>
    </row>
    <row r="1496" spans="1:4" s="1" customFormat="1" ht="19.75" customHeight="1" x14ac:dyDescent="0.25">
      <c r="A1496" s="9">
        <f>2009</f>
        <v>2009</v>
      </c>
      <c r="B1496" s="4" t="s">
        <v>40</v>
      </c>
      <c r="C1496" s="5">
        <v>504.0718</v>
      </c>
      <c r="D1496" s="13">
        <v>151.68690000000001</v>
      </c>
    </row>
    <row r="1497" spans="1:4" s="1" customFormat="1" ht="19.75" customHeight="1" x14ac:dyDescent="0.25">
      <c r="A1497" s="9">
        <f>2009</f>
        <v>2009</v>
      </c>
      <c r="B1497" s="4" t="s">
        <v>38</v>
      </c>
      <c r="C1497" s="2">
        <v>116.3997</v>
      </c>
      <c r="D1497" s="14">
        <v>38.950299999999999</v>
      </c>
    </row>
    <row r="1498" spans="1:4" s="1" customFormat="1" ht="19.75" customHeight="1" x14ac:dyDescent="0.25">
      <c r="A1498" s="9">
        <f>2009</f>
        <v>2009</v>
      </c>
      <c r="B1498" s="4" t="s">
        <v>37</v>
      </c>
      <c r="C1498" s="5">
        <v>74.437799999999996</v>
      </c>
      <c r="D1498" s="13">
        <v>33.253300000000003</v>
      </c>
    </row>
    <row r="1499" spans="1:4" s="1" customFormat="1" ht="19.75" customHeight="1" x14ac:dyDescent="0.25">
      <c r="A1499" s="9">
        <f>2009</f>
        <v>2009</v>
      </c>
      <c r="B1499" s="4" t="s">
        <v>35</v>
      </c>
      <c r="C1499" s="2">
        <v>36.057099999999998</v>
      </c>
      <c r="D1499" s="14">
        <v>9.5690000000000008</v>
      </c>
    </row>
    <row r="1500" spans="1:4" s="1" customFormat="1" ht="19.75" customHeight="1" x14ac:dyDescent="0.25">
      <c r="A1500" s="9">
        <f>2009</f>
        <v>2009</v>
      </c>
      <c r="B1500" s="4" t="s">
        <v>34</v>
      </c>
      <c r="C1500" s="5">
        <v>1164.038</v>
      </c>
      <c r="D1500" s="13">
        <v>328.4769</v>
      </c>
    </row>
    <row r="1501" spans="1:4" s="1" customFormat="1" ht="19.75" customHeight="1" x14ac:dyDescent="0.25">
      <c r="A1501" s="9">
        <f>2009</f>
        <v>2009</v>
      </c>
      <c r="B1501" s="4" t="s">
        <v>33</v>
      </c>
      <c r="C1501" s="2">
        <v>643.42939999999999</v>
      </c>
      <c r="D1501" s="14">
        <v>204.28659999999999</v>
      </c>
    </row>
    <row r="1502" spans="1:4" s="1" customFormat="1" ht="19.75" customHeight="1" x14ac:dyDescent="0.25">
      <c r="A1502" s="9">
        <f>2009</f>
        <v>2009</v>
      </c>
      <c r="B1502" s="4" t="s">
        <v>31</v>
      </c>
      <c r="C1502" s="5">
        <v>1492.1356000000001</v>
      </c>
      <c r="D1502" s="13">
        <v>418.54520000000002</v>
      </c>
    </row>
    <row r="1503" spans="1:4" s="1" customFormat="1" ht="19.75" customHeight="1" x14ac:dyDescent="0.25">
      <c r="A1503" s="9">
        <f>2009</f>
        <v>2009</v>
      </c>
      <c r="B1503" s="4" t="s">
        <v>30</v>
      </c>
      <c r="C1503" s="2">
        <v>0.71930000000000005</v>
      </c>
      <c r="D1503" s="14">
        <v>4.1459999999999999</v>
      </c>
    </row>
    <row r="1504" spans="1:4" s="1" customFormat="1" ht="19.75" customHeight="1" x14ac:dyDescent="0.25">
      <c r="A1504" s="9">
        <f>2009</f>
        <v>2009</v>
      </c>
      <c r="B1504" s="4" t="s">
        <v>29</v>
      </c>
      <c r="C1504" s="5">
        <v>20.020099999999999</v>
      </c>
      <c r="D1504" s="13">
        <v>13.1485</v>
      </c>
    </row>
    <row r="1505" spans="1:4" s="1" customFormat="1" ht="19.75" customHeight="1" x14ac:dyDescent="0.25">
      <c r="A1505" s="9">
        <f>2009</f>
        <v>2009</v>
      </c>
      <c r="B1505" s="4" t="s">
        <v>91</v>
      </c>
      <c r="C1505" s="2">
        <v>81.173500000000004</v>
      </c>
      <c r="D1505" s="14">
        <v>374.5849</v>
      </c>
    </row>
    <row r="1506" spans="1:4" s="1" customFormat="1" ht="19.75" customHeight="1" x14ac:dyDescent="0.25">
      <c r="A1506" s="9">
        <f>2009</f>
        <v>2009</v>
      </c>
      <c r="B1506" s="4" t="s">
        <v>27</v>
      </c>
      <c r="C1506" s="5">
        <v>151.8912</v>
      </c>
      <c r="D1506" s="13">
        <v>175.15020000000001</v>
      </c>
    </row>
    <row r="1507" spans="1:4" s="1" customFormat="1" ht="19.75" customHeight="1" x14ac:dyDescent="0.25">
      <c r="A1507" s="9">
        <f>2009</f>
        <v>2009</v>
      </c>
      <c r="B1507" s="4" t="s">
        <v>26</v>
      </c>
      <c r="C1507" s="2">
        <v>24.9663</v>
      </c>
      <c r="D1507" s="14">
        <v>16.814800000000002</v>
      </c>
    </row>
    <row r="1508" spans="1:4" s="1" customFormat="1" ht="19.75" customHeight="1" x14ac:dyDescent="0.25">
      <c r="A1508" s="9">
        <f>2009</f>
        <v>2009</v>
      </c>
      <c r="B1508" s="4" t="s">
        <v>25</v>
      </c>
      <c r="C1508" s="5">
        <v>3.2225000000000001</v>
      </c>
      <c r="D1508" s="13">
        <v>3.2033</v>
      </c>
    </row>
    <row r="1509" spans="1:4" s="1" customFormat="1" ht="19.75" customHeight="1" x14ac:dyDescent="0.25">
      <c r="A1509" s="9">
        <f>2009</f>
        <v>2009</v>
      </c>
      <c r="B1509" s="4" t="s">
        <v>24</v>
      </c>
      <c r="C1509" s="2">
        <v>371.02969999999999</v>
      </c>
      <c r="D1509" s="14">
        <v>58.569600000000001</v>
      </c>
    </row>
    <row r="1510" spans="1:4" s="1" customFormat="1" ht="19.75" customHeight="1" x14ac:dyDescent="0.25">
      <c r="A1510" s="9">
        <f>2009</f>
        <v>2009</v>
      </c>
      <c r="B1510" s="4" t="s">
        <v>23</v>
      </c>
      <c r="C1510" s="5">
        <v>978.50670000000002</v>
      </c>
      <c r="D1510" s="13">
        <v>892.4624</v>
      </c>
    </row>
    <row r="1511" spans="1:4" s="1" customFormat="1" ht="19.75" customHeight="1" x14ac:dyDescent="0.25">
      <c r="A1511" s="9">
        <f>2009</f>
        <v>2009</v>
      </c>
      <c r="B1511" s="4" t="s">
        <v>22</v>
      </c>
      <c r="C1511" s="2">
        <v>272.25240000000002</v>
      </c>
      <c r="D1511" s="14">
        <v>193.44450000000001</v>
      </c>
    </row>
    <row r="1512" spans="1:4" s="1" customFormat="1" ht="19.75" customHeight="1" x14ac:dyDescent="0.25">
      <c r="A1512" s="9">
        <f>2009</f>
        <v>2009</v>
      </c>
      <c r="B1512" s="4" t="s">
        <v>21</v>
      </c>
      <c r="C1512" s="5">
        <v>2428.8418000000001</v>
      </c>
      <c r="D1512" s="13">
        <v>2587.2256000000002</v>
      </c>
    </row>
    <row r="1513" spans="1:4" s="1" customFormat="1" ht="19.75" customHeight="1" x14ac:dyDescent="0.25">
      <c r="A1513" s="9">
        <f>2009</f>
        <v>2009</v>
      </c>
      <c r="B1513" s="4" t="s">
        <v>20</v>
      </c>
      <c r="C1513" s="2">
        <v>173.69649999999999</v>
      </c>
      <c r="D1513" s="14">
        <v>99.589500000000001</v>
      </c>
    </row>
    <row r="1514" spans="1:4" s="1" customFormat="1" ht="19.75" customHeight="1" x14ac:dyDescent="0.25">
      <c r="A1514" s="9">
        <f>2009</f>
        <v>2009</v>
      </c>
      <c r="B1514" s="4" t="s">
        <v>19</v>
      </c>
      <c r="C1514" s="5">
        <v>6.4372999999999996</v>
      </c>
      <c r="D1514" s="13">
        <v>8.5902999999999992</v>
      </c>
    </row>
    <row r="1515" spans="1:4" s="1" customFormat="1" ht="19.75" customHeight="1" x14ac:dyDescent="0.25">
      <c r="A1515" s="9">
        <f>2009</f>
        <v>2009</v>
      </c>
      <c r="B1515" s="4" t="s">
        <v>18</v>
      </c>
      <c r="C1515" s="2">
        <v>493.92149999999998</v>
      </c>
      <c r="D1515" s="14">
        <v>164.81970000000001</v>
      </c>
    </row>
    <row r="1516" spans="1:4" s="1" customFormat="1" ht="19.75" customHeight="1" x14ac:dyDescent="0.25">
      <c r="A1516" s="9">
        <f>2009</f>
        <v>2009</v>
      </c>
      <c r="B1516" s="4" t="s">
        <v>17</v>
      </c>
      <c r="C1516" s="5">
        <v>587.93399999999997</v>
      </c>
      <c r="D1516" s="13">
        <v>1155.0751</v>
      </c>
    </row>
    <row r="1517" spans="1:4" s="1" customFormat="1" ht="19.75" customHeight="1" x14ac:dyDescent="0.25">
      <c r="A1517" s="9">
        <f>2009</f>
        <v>2009</v>
      </c>
      <c r="B1517" s="4" t="s">
        <v>16</v>
      </c>
      <c r="C1517" s="2">
        <v>2661.0018</v>
      </c>
      <c r="D1517" s="14">
        <v>2194.6691000000001</v>
      </c>
    </row>
    <row r="1518" spans="1:4" s="1" customFormat="1" ht="19.75" customHeight="1" x14ac:dyDescent="0.25">
      <c r="A1518" s="9">
        <f>2009</f>
        <v>2009</v>
      </c>
      <c r="B1518" s="4" t="s">
        <v>15</v>
      </c>
      <c r="C1518" s="5">
        <v>9.2120999999999995</v>
      </c>
      <c r="D1518" s="13">
        <v>6.0797999999999996</v>
      </c>
    </row>
    <row r="1519" spans="1:4" s="1" customFormat="1" ht="19.75" customHeight="1" x14ac:dyDescent="0.25">
      <c r="A1519" s="9">
        <f>2009</f>
        <v>2009</v>
      </c>
      <c r="B1519" s="4" t="s">
        <v>13</v>
      </c>
      <c r="C1519" s="2">
        <v>230.78100000000001</v>
      </c>
      <c r="D1519" s="14">
        <v>137.82640000000001</v>
      </c>
    </row>
    <row r="1520" spans="1:4" s="1" customFormat="1" ht="19.75" customHeight="1" x14ac:dyDescent="0.25">
      <c r="A1520" s="9">
        <f>2009</f>
        <v>2009</v>
      </c>
      <c r="B1520" s="4" t="s">
        <v>90</v>
      </c>
      <c r="C1520" s="6"/>
      <c r="D1520" s="13">
        <v>6.9668000000000001</v>
      </c>
    </row>
    <row r="1521" spans="1:4" s="1" customFormat="1" ht="19.75" customHeight="1" x14ac:dyDescent="0.25">
      <c r="A1521" s="9">
        <f>2009</f>
        <v>2009</v>
      </c>
      <c r="B1521" s="4" t="s">
        <v>88</v>
      </c>
      <c r="C1521" s="2">
        <v>22.515999999999998</v>
      </c>
      <c r="D1521" s="14">
        <v>8.4982000000000006</v>
      </c>
    </row>
    <row r="1522" spans="1:4" s="1" customFormat="1" ht="19.75" customHeight="1" x14ac:dyDescent="0.25">
      <c r="A1522" s="9">
        <f>2009</f>
        <v>2009</v>
      </c>
      <c r="B1522" s="4" t="s">
        <v>11</v>
      </c>
      <c r="C1522" s="5">
        <v>4.5525000000000002</v>
      </c>
      <c r="D1522" s="13">
        <v>3.2322000000000002</v>
      </c>
    </row>
    <row r="1523" spans="1:4" s="1" customFormat="1" ht="19.75" customHeight="1" x14ac:dyDescent="0.25">
      <c r="A1523" s="9">
        <f>2009</f>
        <v>2009</v>
      </c>
      <c r="B1523" s="4" t="s">
        <v>10</v>
      </c>
      <c r="C1523" s="2">
        <v>0.1532</v>
      </c>
      <c r="D1523" s="14">
        <v>6.0214999999999996</v>
      </c>
    </row>
    <row r="1524" spans="1:4" s="1" customFormat="1" ht="19.75" customHeight="1" x14ac:dyDescent="0.25">
      <c r="A1524" s="9">
        <f>2009</f>
        <v>2009</v>
      </c>
      <c r="B1524" s="4" t="s">
        <v>9</v>
      </c>
      <c r="C1524" s="5">
        <v>58.171100000000003</v>
      </c>
      <c r="D1524" s="13">
        <v>36.211199999999998</v>
      </c>
    </row>
    <row r="1525" spans="1:4" s="1" customFormat="1" ht="19.75" customHeight="1" x14ac:dyDescent="0.25">
      <c r="A1525" s="9">
        <f>2009</f>
        <v>2009</v>
      </c>
      <c r="B1525" s="4" t="s">
        <v>8</v>
      </c>
      <c r="C1525" s="2">
        <v>174.3372</v>
      </c>
      <c r="D1525" s="14">
        <v>40.7988</v>
      </c>
    </row>
    <row r="1526" spans="1:4" s="1" customFormat="1" ht="19.75" customHeight="1" x14ac:dyDescent="0.25">
      <c r="A1526" s="9">
        <f>2009</f>
        <v>2009</v>
      </c>
      <c r="B1526" s="4" t="s">
        <v>7</v>
      </c>
      <c r="C1526" s="6"/>
      <c r="D1526" s="13">
        <v>0.5806</v>
      </c>
    </row>
    <row r="1527" spans="1:4" s="1" customFormat="1" ht="19.75" customHeight="1" x14ac:dyDescent="0.25">
      <c r="A1527" s="9">
        <f>2009</f>
        <v>2009</v>
      </c>
      <c r="B1527" s="4" t="s">
        <v>6</v>
      </c>
      <c r="C1527" s="2">
        <v>30.5398</v>
      </c>
      <c r="D1527" s="14">
        <v>6.2218999999999998</v>
      </c>
    </row>
    <row r="1528" spans="1:4" s="1" customFormat="1" ht="19.75" customHeight="1" x14ac:dyDescent="0.25">
      <c r="A1528" s="9">
        <f>2009</f>
        <v>2009</v>
      </c>
      <c r="B1528" s="4" t="s">
        <v>5</v>
      </c>
      <c r="C1528" s="5">
        <v>25.658000000000001</v>
      </c>
      <c r="D1528" s="13">
        <v>12.782999999999999</v>
      </c>
    </row>
    <row r="1529" spans="1:4" s="1" customFormat="1" ht="19.75" customHeight="1" x14ac:dyDescent="0.25">
      <c r="A1529" s="9">
        <f>2009</f>
        <v>2009</v>
      </c>
      <c r="B1529" s="4" t="s">
        <v>4</v>
      </c>
      <c r="C1529" s="2">
        <v>80.170699999999997</v>
      </c>
      <c r="D1529" s="14">
        <v>65.524000000000001</v>
      </c>
    </row>
    <row r="1530" spans="1:4" s="1" customFormat="1" ht="19.75" customHeight="1" x14ac:dyDescent="0.25">
      <c r="A1530" s="9">
        <f>2009</f>
        <v>2009</v>
      </c>
      <c r="B1530" s="4" t="s">
        <v>3</v>
      </c>
      <c r="C1530" s="5">
        <v>0.64670000000000005</v>
      </c>
      <c r="D1530" s="13">
        <v>3.3895</v>
      </c>
    </row>
    <row r="1531" spans="1:4" s="1" customFormat="1" ht="19.75" customHeight="1" x14ac:dyDescent="0.25">
      <c r="A1531" s="9">
        <f>2009</f>
        <v>2009</v>
      </c>
      <c r="B1531" s="4" t="s">
        <v>2</v>
      </c>
      <c r="C1531" s="2">
        <v>2489.6206000000002</v>
      </c>
      <c r="D1531" s="14">
        <v>2499.7008999999998</v>
      </c>
    </row>
    <row r="1532" spans="1:4" s="1" customFormat="1" ht="19.75" customHeight="1" x14ac:dyDescent="0.25">
      <c r="A1532" s="9">
        <f>2009</f>
        <v>2009</v>
      </c>
      <c r="B1532" s="4" t="s">
        <v>1</v>
      </c>
      <c r="C1532" s="5">
        <v>1437.1495</v>
      </c>
      <c r="D1532" s="13">
        <v>1497.3498</v>
      </c>
    </row>
    <row r="1533" spans="1:4" s="1" customFormat="1" ht="19.75" customHeight="1" x14ac:dyDescent="0.25">
      <c r="A1533" s="9">
        <f>2009</f>
        <v>2009</v>
      </c>
      <c r="B1533" s="4" t="s">
        <v>89</v>
      </c>
      <c r="C1533" s="3"/>
      <c r="D1533" s="14">
        <v>25.736499999999999</v>
      </c>
    </row>
    <row r="1534" spans="1:4" s="1" customFormat="1" ht="19.75" customHeight="1" x14ac:dyDescent="0.25">
      <c r="A1534" s="9">
        <f>2008</f>
        <v>2008</v>
      </c>
      <c r="B1534" s="4" t="s">
        <v>87</v>
      </c>
      <c r="C1534" s="5">
        <v>2112.9832999999999</v>
      </c>
      <c r="D1534" s="13">
        <v>749.51440000000002</v>
      </c>
    </row>
    <row r="1535" spans="1:4" s="1" customFormat="1" ht="19.75" customHeight="1" x14ac:dyDescent="0.25">
      <c r="A1535" s="9">
        <f>2008</f>
        <v>2008</v>
      </c>
      <c r="B1535" s="4" t="s">
        <v>86</v>
      </c>
      <c r="C1535" s="2">
        <v>3290.2474000000002</v>
      </c>
      <c r="D1535" s="14">
        <v>798.85799999999995</v>
      </c>
    </row>
    <row r="1536" spans="1:4" s="1" customFormat="1" ht="19.75" customHeight="1" x14ac:dyDescent="0.25">
      <c r="A1536" s="9">
        <f>2008</f>
        <v>2008</v>
      </c>
      <c r="B1536" s="4" t="s">
        <v>85</v>
      </c>
      <c r="C1536" s="5">
        <v>31929.0769</v>
      </c>
      <c r="D1536" s="13">
        <v>12608.606</v>
      </c>
    </row>
    <row r="1537" spans="1:4" s="1" customFormat="1" ht="19.75" customHeight="1" x14ac:dyDescent="0.25">
      <c r="A1537" s="9">
        <f>2008</f>
        <v>2008</v>
      </c>
      <c r="B1537" s="4" t="s">
        <v>84</v>
      </c>
      <c r="C1537" s="2">
        <v>1653.8389999999999</v>
      </c>
      <c r="D1537" s="14">
        <v>431.12759999999997</v>
      </c>
    </row>
    <row r="1538" spans="1:4" s="1" customFormat="1" ht="19.75" customHeight="1" x14ac:dyDescent="0.25">
      <c r="A1538" s="9">
        <f>2008</f>
        <v>2008</v>
      </c>
      <c r="B1538" s="4" t="s">
        <v>83</v>
      </c>
      <c r="C1538" s="5">
        <v>1732.1034999999999</v>
      </c>
      <c r="D1538" s="13">
        <v>616.90250000000003</v>
      </c>
    </row>
    <row r="1539" spans="1:4" s="1" customFormat="1" ht="19.75" customHeight="1" x14ac:dyDescent="0.25">
      <c r="A1539" s="9">
        <f>2008</f>
        <v>2008</v>
      </c>
      <c r="B1539" s="4" t="s">
        <v>82</v>
      </c>
      <c r="C1539" s="2">
        <v>3419.6233000000002</v>
      </c>
      <c r="D1539" s="14">
        <v>706.98350000000005</v>
      </c>
    </row>
    <row r="1540" spans="1:4" s="1" customFormat="1" ht="19.75" customHeight="1" x14ac:dyDescent="0.25">
      <c r="A1540" s="9">
        <f>2008</f>
        <v>2008</v>
      </c>
      <c r="B1540" s="4" t="s">
        <v>81</v>
      </c>
      <c r="C1540" s="5">
        <v>1194.1248000000001</v>
      </c>
      <c r="D1540" s="13">
        <v>393.77280000000002</v>
      </c>
    </row>
    <row r="1541" spans="1:4" s="1" customFormat="1" ht="19.75" customHeight="1" x14ac:dyDescent="0.25">
      <c r="A1541" s="9">
        <f>2008</f>
        <v>2008</v>
      </c>
      <c r="B1541" s="4" t="s">
        <v>80</v>
      </c>
      <c r="C1541" s="2">
        <v>2476.8243000000002</v>
      </c>
      <c r="D1541" s="14">
        <v>686.94230000000005</v>
      </c>
    </row>
    <row r="1542" spans="1:4" s="1" customFormat="1" ht="19.75" customHeight="1" x14ac:dyDescent="0.25">
      <c r="A1542" s="9">
        <f>2008</f>
        <v>2008</v>
      </c>
      <c r="B1542" s="4" t="s">
        <v>79</v>
      </c>
      <c r="C1542" s="5">
        <v>4498.8795</v>
      </c>
      <c r="D1542" s="13">
        <v>1157.5834</v>
      </c>
    </row>
    <row r="1543" spans="1:4" s="1" customFormat="1" ht="19.75" customHeight="1" x14ac:dyDescent="0.25">
      <c r="A1543" s="9">
        <f>2008</f>
        <v>2008</v>
      </c>
      <c r="B1543" s="4" t="s">
        <v>78</v>
      </c>
      <c r="C1543" s="2">
        <v>2869.9958999999999</v>
      </c>
      <c r="D1543" s="14">
        <v>909.08889999999997</v>
      </c>
    </row>
    <row r="1544" spans="1:4" s="1" customFormat="1" ht="19.75" customHeight="1" x14ac:dyDescent="0.25">
      <c r="A1544" s="9">
        <f>2008</f>
        <v>2008</v>
      </c>
      <c r="B1544" s="4" t="s">
        <v>77</v>
      </c>
      <c r="C1544" s="5">
        <v>7901.6706000000004</v>
      </c>
      <c r="D1544" s="13">
        <v>3034.2921000000001</v>
      </c>
    </row>
    <row r="1545" spans="1:4" s="1" customFormat="1" ht="19.75" customHeight="1" x14ac:dyDescent="0.25">
      <c r="A1545" s="9">
        <f>2008</f>
        <v>2008</v>
      </c>
      <c r="B1545" s="4" t="s">
        <v>76</v>
      </c>
      <c r="C1545" s="2">
        <v>8125.9516999999996</v>
      </c>
      <c r="D1545" s="14">
        <v>2644.9874</v>
      </c>
    </row>
    <row r="1546" spans="1:4" s="1" customFormat="1" ht="19.75" customHeight="1" x14ac:dyDescent="0.25">
      <c r="A1546" s="9">
        <f>2008</f>
        <v>2008</v>
      </c>
      <c r="B1546" s="4" t="s">
        <v>75</v>
      </c>
      <c r="C1546" s="5">
        <v>2311.7912999999999</v>
      </c>
      <c r="D1546" s="13">
        <v>836.33889999999997</v>
      </c>
    </row>
    <row r="1547" spans="1:4" s="1" customFormat="1" ht="19.75" customHeight="1" x14ac:dyDescent="0.25">
      <c r="A1547" s="9">
        <f>2008</f>
        <v>2008</v>
      </c>
      <c r="B1547" s="4" t="s">
        <v>74</v>
      </c>
      <c r="C1547" s="2">
        <v>10662.9444</v>
      </c>
      <c r="D1547" s="14">
        <v>2791.2912999999999</v>
      </c>
    </row>
    <row r="1548" spans="1:4" s="1" customFormat="1" ht="19.75" customHeight="1" x14ac:dyDescent="0.25">
      <c r="A1548" s="9">
        <f>2008</f>
        <v>2008</v>
      </c>
      <c r="B1548" s="4" t="s">
        <v>73</v>
      </c>
      <c r="C1548" s="5">
        <v>5772.4731000000002</v>
      </c>
      <c r="D1548" s="13">
        <v>1745.8331000000001</v>
      </c>
    </row>
    <row r="1549" spans="1:4" s="1" customFormat="1" ht="19.75" customHeight="1" x14ac:dyDescent="0.25">
      <c r="A1549" s="9">
        <f>2008</f>
        <v>2008</v>
      </c>
      <c r="B1549" s="4" t="s">
        <v>72</v>
      </c>
      <c r="C1549" s="2">
        <v>3073.2357000000002</v>
      </c>
      <c r="D1549" s="14">
        <v>891.95510000000002</v>
      </c>
    </row>
    <row r="1550" spans="1:4" s="1" customFormat="1" ht="19.75" customHeight="1" x14ac:dyDescent="0.25">
      <c r="A1550" s="9">
        <f>2008</f>
        <v>2008</v>
      </c>
      <c r="B1550" s="4" t="s">
        <v>71</v>
      </c>
      <c r="C1550" s="5">
        <v>1817.1434999999999</v>
      </c>
      <c r="D1550" s="13">
        <v>650.44119999999998</v>
      </c>
    </row>
    <row r="1551" spans="1:4" s="1" customFormat="1" ht="19.75" customHeight="1" x14ac:dyDescent="0.25">
      <c r="A1551" s="9">
        <f>2008</f>
        <v>2008</v>
      </c>
      <c r="B1551" s="4" t="s">
        <v>70</v>
      </c>
      <c r="C1551" s="2">
        <v>7364.4133000000002</v>
      </c>
      <c r="D1551" s="14">
        <v>958.78240000000005</v>
      </c>
    </row>
    <row r="1552" spans="1:4" s="1" customFormat="1" ht="19.75" customHeight="1" x14ac:dyDescent="0.25">
      <c r="A1552" s="9">
        <f>2008</f>
        <v>2008</v>
      </c>
      <c r="B1552" s="4" t="s">
        <v>69</v>
      </c>
      <c r="C1552" s="5">
        <v>3159.0767000000001</v>
      </c>
      <c r="D1552" s="13">
        <v>1400.2941000000001</v>
      </c>
    </row>
    <row r="1553" spans="1:4" s="1" customFormat="1" ht="19.75" customHeight="1" x14ac:dyDescent="0.25">
      <c r="A1553" s="9">
        <f>2008</f>
        <v>2008</v>
      </c>
      <c r="B1553" s="4" t="s">
        <v>68</v>
      </c>
      <c r="C1553" s="2">
        <v>5288.7923000000001</v>
      </c>
      <c r="D1553" s="14">
        <v>1485.2945</v>
      </c>
    </row>
    <row r="1554" spans="1:4" s="1" customFormat="1" ht="19.75" customHeight="1" x14ac:dyDescent="0.25">
      <c r="A1554" s="9">
        <f>2008</f>
        <v>2008</v>
      </c>
      <c r="B1554" s="4" t="s">
        <v>67</v>
      </c>
      <c r="C1554" s="5">
        <v>5156.1731</v>
      </c>
      <c r="D1554" s="13">
        <v>1079.6309000000001</v>
      </c>
    </row>
    <row r="1555" spans="1:4" s="1" customFormat="1" ht="19.75" customHeight="1" x14ac:dyDescent="0.25">
      <c r="A1555" s="9">
        <f>2008</f>
        <v>2008</v>
      </c>
      <c r="B1555" s="4" t="s">
        <v>66</v>
      </c>
      <c r="C1555" s="2">
        <v>1433.4936</v>
      </c>
      <c r="D1555" s="14">
        <v>560.77620000000002</v>
      </c>
    </row>
    <row r="1556" spans="1:4" s="1" customFormat="1" ht="19.75" customHeight="1" x14ac:dyDescent="0.25">
      <c r="A1556" s="9">
        <f>2008</f>
        <v>2008</v>
      </c>
      <c r="B1556" s="4" t="s">
        <v>65</v>
      </c>
      <c r="C1556" s="5">
        <v>8730.8618999999999</v>
      </c>
      <c r="D1556" s="13">
        <v>3525.4771000000001</v>
      </c>
    </row>
    <row r="1557" spans="1:4" s="1" customFormat="1" ht="19.75" customHeight="1" x14ac:dyDescent="0.25">
      <c r="A1557" s="9">
        <f>2008</f>
        <v>2008</v>
      </c>
      <c r="B1557" s="4" t="s">
        <v>64</v>
      </c>
      <c r="C1557" s="2">
        <v>5833.5582000000004</v>
      </c>
      <c r="D1557" s="14">
        <v>1494.5379</v>
      </c>
    </row>
    <row r="1558" spans="1:4" s="1" customFormat="1" ht="19.75" customHeight="1" x14ac:dyDescent="0.25">
      <c r="A1558" s="9">
        <f>2008</f>
        <v>2008</v>
      </c>
      <c r="B1558" s="4" t="s">
        <v>63</v>
      </c>
      <c r="C1558" s="5">
        <v>5020.8127999999997</v>
      </c>
      <c r="D1558" s="13">
        <v>1305.9254000000001</v>
      </c>
    </row>
    <row r="1559" spans="1:4" s="1" customFormat="1" ht="19.75" customHeight="1" x14ac:dyDescent="0.25">
      <c r="A1559" s="9">
        <f>2008</f>
        <v>2008</v>
      </c>
      <c r="B1559" s="4" t="s">
        <v>62</v>
      </c>
      <c r="C1559" s="2">
        <v>6360.9476999999997</v>
      </c>
      <c r="D1559" s="14">
        <v>1592.9857999999999</v>
      </c>
    </row>
    <row r="1560" spans="1:4" s="1" customFormat="1" ht="19.75" customHeight="1" x14ac:dyDescent="0.25">
      <c r="A1560" s="9">
        <f>2008</f>
        <v>2008</v>
      </c>
      <c r="B1560" s="4" t="s">
        <v>61</v>
      </c>
      <c r="C1560" s="5">
        <v>2652.6918000000001</v>
      </c>
      <c r="D1560" s="13">
        <v>903.16210000000001</v>
      </c>
    </row>
    <row r="1561" spans="1:4" s="1" customFormat="1" ht="19.75" customHeight="1" x14ac:dyDescent="0.25">
      <c r="A1561" s="9">
        <f>2008</f>
        <v>2008</v>
      </c>
      <c r="B1561" s="4" t="s">
        <v>60</v>
      </c>
      <c r="C1561" s="2">
        <v>3058.4176000000002</v>
      </c>
      <c r="D1561" s="14">
        <v>701.27430000000004</v>
      </c>
    </row>
    <row r="1562" spans="1:4" s="1" customFormat="1" ht="19.75" customHeight="1" x14ac:dyDescent="0.25">
      <c r="A1562" s="9">
        <f>2008</f>
        <v>2008</v>
      </c>
      <c r="B1562" s="4" t="s">
        <v>59</v>
      </c>
      <c r="C1562" s="5">
        <v>4419.9616999999998</v>
      </c>
      <c r="D1562" s="13">
        <v>2154.9268999999999</v>
      </c>
    </row>
    <row r="1563" spans="1:4" s="1" customFormat="1" ht="19.75" customHeight="1" x14ac:dyDescent="0.25">
      <c r="A1563" s="9">
        <f>2008</f>
        <v>2008</v>
      </c>
      <c r="B1563" s="4" t="s">
        <v>57</v>
      </c>
      <c r="C1563" s="2">
        <v>735.60199999999998</v>
      </c>
      <c r="D1563" s="14">
        <v>269.517</v>
      </c>
    </row>
    <row r="1564" spans="1:4" s="1" customFormat="1" ht="19.75" customHeight="1" x14ac:dyDescent="0.25">
      <c r="A1564" s="9">
        <f>2008</f>
        <v>2008</v>
      </c>
      <c r="B1564" s="4" t="s">
        <v>55</v>
      </c>
      <c r="C1564" s="5">
        <v>1492.01</v>
      </c>
      <c r="D1564" s="13">
        <v>976.89</v>
      </c>
    </row>
    <row r="1565" spans="1:4" s="1" customFormat="1" ht="19.75" customHeight="1" x14ac:dyDescent="0.25">
      <c r="A1565" s="9">
        <f>2008</f>
        <v>2008</v>
      </c>
      <c r="B1565" s="4" t="s">
        <v>54</v>
      </c>
      <c r="C1565" s="2">
        <v>396.18439999999998</v>
      </c>
      <c r="D1565" s="14">
        <v>109.9111</v>
      </c>
    </row>
    <row r="1566" spans="1:4" s="1" customFormat="1" ht="19.75" customHeight="1" x14ac:dyDescent="0.25">
      <c r="A1566" s="9">
        <f>2008</f>
        <v>2008</v>
      </c>
      <c r="B1566" s="4" t="s">
        <v>53</v>
      </c>
      <c r="C1566" s="5">
        <v>317.17520000000002</v>
      </c>
      <c r="D1566" s="13">
        <v>151.1009</v>
      </c>
    </row>
    <row r="1567" spans="1:4" s="1" customFormat="1" ht="19.75" customHeight="1" x14ac:dyDescent="0.25">
      <c r="A1567" s="9">
        <f>2008</f>
        <v>2008</v>
      </c>
      <c r="B1567" s="4" t="s">
        <v>52</v>
      </c>
      <c r="C1567" s="2">
        <v>388.36660000000001</v>
      </c>
      <c r="D1567" s="14">
        <v>237.97829999999999</v>
      </c>
    </row>
    <row r="1568" spans="1:4" s="1" customFormat="1" ht="19.75" customHeight="1" x14ac:dyDescent="0.25">
      <c r="A1568" s="9">
        <f>2008</f>
        <v>2008</v>
      </c>
      <c r="B1568" s="4" t="s">
        <v>51</v>
      </c>
      <c r="C1568" s="5">
        <v>213.5051</v>
      </c>
      <c r="D1568" s="13">
        <v>96.516000000000005</v>
      </c>
    </row>
    <row r="1569" spans="1:4" s="1" customFormat="1" ht="19.75" customHeight="1" x14ac:dyDescent="0.25">
      <c r="A1569" s="9">
        <f>2008</f>
        <v>2008</v>
      </c>
      <c r="B1569" s="4" t="s">
        <v>50</v>
      </c>
      <c r="C1569" s="2">
        <v>1647.4249</v>
      </c>
      <c r="D1569" s="14">
        <v>468.61860000000001</v>
      </c>
    </row>
    <row r="1570" spans="1:4" s="1" customFormat="1" ht="19.75" customHeight="1" x14ac:dyDescent="0.25">
      <c r="A1570" s="9">
        <f>2008</f>
        <v>2008</v>
      </c>
      <c r="B1570" s="4" t="s">
        <v>48</v>
      </c>
      <c r="C1570" s="5">
        <v>4887.1145999999999</v>
      </c>
      <c r="D1570" s="13">
        <v>3745.6167999999998</v>
      </c>
    </row>
    <row r="1571" spans="1:4" s="1" customFormat="1" ht="19.75" customHeight="1" x14ac:dyDescent="0.25">
      <c r="A1571" s="9">
        <f>2008</f>
        <v>2008</v>
      </c>
      <c r="B1571" s="4" t="s">
        <v>47</v>
      </c>
      <c r="C1571" s="2">
        <v>23484.242300000002</v>
      </c>
      <c r="D1571" s="14">
        <v>8154.1818999999996</v>
      </c>
    </row>
    <row r="1572" spans="1:4" s="1" customFormat="1" ht="19.75" customHeight="1" x14ac:dyDescent="0.25">
      <c r="A1572" s="9">
        <f>2008</f>
        <v>2008</v>
      </c>
      <c r="B1572" s="4" t="s">
        <v>46</v>
      </c>
      <c r="C1572" s="5">
        <v>1579.8597</v>
      </c>
      <c r="D1572" s="13">
        <v>402.19279999999998</v>
      </c>
    </row>
    <row r="1573" spans="1:4" s="1" customFormat="1" ht="19.75" customHeight="1" x14ac:dyDescent="0.25">
      <c r="A1573" s="9">
        <f>2008</f>
        <v>2008</v>
      </c>
      <c r="B1573" s="4" t="s">
        <v>45</v>
      </c>
      <c r="C1573" s="2">
        <v>1182.0478000000001</v>
      </c>
      <c r="D1573" s="14">
        <v>609.48929999999996</v>
      </c>
    </row>
    <row r="1574" spans="1:4" s="1" customFormat="1" ht="19.75" customHeight="1" x14ac:dyDescent="0.25">
      <c r="A1574" s="9">
        <f>2008</f>
        <v>2008</v>
      </c>
      <c r="B1574" s="4" t="s">
        <v>44</v>
      </c>
      <c r="C1574" s="5">
        <v>1623.7917</v>
      </c>
      <c r="D1574" s="13">
        <v>403.61410000000001</v>
      </c>
    </row>
    <row r="1575" spans="1:4" s="1" customFormat="1" ht="19.75" customHeight="1" x14ac:dyDescent="0.25">
      <c r="A1575" s="9">
        <f>2008</f>
        <v>2008</v>
      </c>
      <c r="B1575" s="4" t="s">
        <v>43</v>
      </c>
      <c r="C1575" s="2">
        <v>1101.7085</v>
      </c>
      <c r="D1575" s="14">
        <v>305.58960000000002</v>
      </c>
    </row>
    <row r="1576" spans="1:4" s="1" customFormat="1" ht="19.75" customHeight="1" x14ac:dyDescent="0.25">
      <c r="A1576" s="9">
        <f>2008</f>
        <v>2008</v>
      </c>
      <c r="B1576" s="4" t="s">
        <v>42</v>
      </c>
      <c r="C1576" s="5">
        <v>765.35209999999995</v>
      </c>
      <c r="D1576" s="13">
        <v>216.21850000000001</v>
      </c>
    </row>
    <row r="1577" spans="1:4" s="1" customFormat="1" ht="19.75" customHeight="1" x14ac:dyDescent="0.25">
      <c r="A1577" s="9">
        <f>2008</f>
        <v>2008</v>
      </c>
      <c r="B1577" s="4" t="s">
        <v>41</v>
      </c>
      <c r="C1577" s="2">
        <v>1309.5634</v>
      </c>
      <c r="D1577" s="14">
        <v>1019.3738</v>
      </c>
    </row>
    <row r="1578" spans="1:4" s="1" customFormat="1" ht="19.75" customHeight="1" x14ac:dyDescent="0.25">
      <c r="A1578" s="9">
        <f>2008</f>
        <v>2008</v>
      </c>
      <c r="B1578" s="4" t="s">
        <v>40</v>
      </c>
      <c r="C1578" s="5">
        <v>381.92500000000001</v>
      </c>
      <c r="D1578" s="13">
        <v>116.4427</v>
      </c>
    </row>
    <row r="1579" spans="1:4" s="1" customFormat="1" ht="19.75" customHeight="1" x14ac:dyDescent="0.25">
      <c r="A1579" s="9">
        <f>2008</f>
        <v>2008</v>
      </c>
      <c r="B1579" s="4" t="s">
        <v>38</v>
      </c>
      <c r="C1579" s="2">
        <v>93.003600000000006</v>
      </c>
      <c r="D1579" s="14">
        <v>32.249699999999997</v>
      </c>
    </row>
    <row r="1580" spans="1:4" s="1" customFormat="1" ht="19.75" customHeight="1" x14ac:dyDescent="0.25">
      <c r="A1580" s="9">
        <f>2008</f>
        <v>2008</v>
      </c>
      <c r="B1580" s="4" t="s">
        <v>37</v>
      </c>
      <c r="C1580" s="5">
        <v>52.378599999999999</v>
      </c>
      <c r="D1580" s="13">
        <v>29.750900000000001</v>
      </c>
    </row>
    <row r="1581" spans="1:4" s="1" customFormat="1" ht="19.75" customHeight="1" x14ac:dyDescent="0.25">
      <c r="A1581" s="9">
        <f>2008</f>
        <v>2008</v>
      </c>
      <c r="B1581" s="4" t="s">
        <v>35</v>
      </c>
      <c r="C1581" s="2">
        <v>35.864800000000002</v>
      </c>
      <c r="D1581" s="14">
        <v>9.2093000000000007</v>
      </c>
    </row>
    <row r="1582" spans="1:4" s="1" customFormat="1" ht="19.75" customHeight="1" x14ac:dyDescent="0.25">
      <c r="A1582" s="9">
        <f>2008</f>
        <v>2008</v>
      </c>
      <c r="B1582" s="4" t="s">
        <v>34</v>
      </c>
      <c r="C1582" s="5">
        <v>915.09789999999998</v>
      </c>
      <c r="D1582" s="13">
        <v>248.06729999999999</v>
      </c>
    </row>
    <row r="1583" spans="1:4" s="1" customFormat="1" ht="19.75" customHeight="1" x14ac:dyDescent="0.25">
      <c r="A1583" s="9">
        <f>2008</f>
        <v>2008</v>
      </c>
      <c r="B1583" s="4" t="s">
        <v>33</v>
      </c>
      <c r="C1583" s="2">
        <v>498.80369999999999</v>
      </c>
      <c r="D1583" s="14">
        <v>168.51220000000001</v>
      </c>
    </row>
    <row r="1584" spans="1:4" s="1" customFormat="1" ht="19.75" customHeight="1" x14ac:dyDescent="0.25">
      <c r="A1584" s="9">
        <f>2008</f>
        <v>2008</v>
      </c>
      <c r="B1584" s="4" t="s">
        <v>31</v>
      </c>
      <c r="C1584" s="5">
        <v>974.10860000000002</v>
      </c>
      <c r="D1584" s="13">
        <v>341.16550000000001</v>
      </c>
    </row>
    <row r="1585" spans="1:4" s="1" customFormat="1" ht="19.75" customHeight="1" x14ac:dyDescent="0.25">
      <c r="A1585" s="9">
        <f>2008</f>
        <v>2008</v>
      </c>
      <c r="B1585" s="4" t="s">
        <v>30</v>
      </c>
      <c r="C1585" s="2">
        <v>0.43240000000000001</v>
      </c>
      <c r="D1585" s="14">
        <v>2.9927000000000001</v>
      </c>
    </row>
    <row r="1586" spans="1:4" s="1" customFormat="1" ht="19.75" customHeight="1" x14ac:dyDescent="0.25">
      <c r="A1586" s="9">
        <f>2008</f>
        <v>2008</v>
      </c>
      <c r="B1586" s="4" t="s">
        <v>29</v>
      </c>
      <c r="C1586" s="5">
        <v>26.668800000000001</v>
      </c>
      <c r="D1586" s="13">
        <v>26.685700000000001</v>
      </c>
    </row>
    <row r="1587" spans="1:4" s="1" customFormat="1" ht="19.75" customHeight="1" x14ac:dyDescent="0.25">
      <c r="A1587" s="9">
        <f>2008</f>
        <v>2008</v>
      </c>
      <c r="B1587" s="4" t="s">
        <v>27</v>
      </c>
      <c r="C1587" s="2">
        <v>163.15190000000001</v>
      </c>
      <c r="D1587" s="14">
        <v>167.42760000000001</v>
      </c>
    </row>
    <row r="1588" spans="1:4" s="1" customFormat="1" ht="19.75" customHeight="1" x14ac:dyDescent="0.25">
      <c r="A1588" s="9">
        <f>2008</f>
        <v>2008</v>
      </c>
      <c r="B1588" s="4" t="s">
        <v>26</v>
      </c>
      <c r="C1588" s="5">
        <v>18.7821</v>
      </c>
      <c r="D1588" s="13">
        <v>12.185</v>
      </c>
    </row>
    <row r="1589" spans="1:4" s="1" customFormat="1" ht="19.75" customHeight="1" x14ac:dyDescent="0.25">
      <c r="A1589" s="9">
        <f>2008</f>
        <v>2008</v>
      </c>
      <c r="B1589" s="4" t="s">
        <v>25</v>
      </c>
      <c r="C1589" s="2">
        <v>3.1238000000000001</v>
      </c>
      <c r="D1589" s="14">
        <v>2.6840000000000002</v>
      </c>
    </row>
    <row r="1590" spans="1:4" s="1" customFormat="1" ht="19.75" customHeight="1" x14ac:dyDescent="0.25">
      <c r="A1590" s="9">
        <f>2008</f>
        <v>2008</v>
      </c>
      <c r="B1590" s="4" t="s">
        <v>24</v>
      </c>
      <c r="C1590" s="5">
        <v>257.88889999999998</v>
      </c>
      <c r="D1590" s="13">
        <v>40.274299999999997</v>
      </c>
    </row>
    <row r="1591" spans="1:4" s="1" customFormat="1" ht="19.75" customHeight="1" x14ac:dyDescent="0.25">
      <c r="A1591" s="9">
        <f>2008</f>
        <v>2008</v>
      </c>
      <c r="B1591" s="4" t="s">
        <v>23</v>
      </c>
      <c r="C1591" s="2">
        <v>323.41059999999999</v>
      </c>
      <c r="D1591" s="14">
        <v>692.02639999999997</v>
      </c>
    </row>
    <row r="1592" spans="1:4" s="1" customFormat="1" ht="19.75" customHeight="1" x14ac:dyDescent="0.25">
      <c r="A1592" s="9">
        <f>2008</f>
        <v>2008</v>
      </c>
      <c r="B1592" s="4" t="s">
        <v>22</v>
      </c>
      <c r="C1592" s="5">
        <v>253.75149999999999</v>
      </c>
      <c r="D1592" s="13">
        <v>178.38810000000001</v>
      </c>
    </row>
    <row r="1593" spans="1:4" s="1" customFormat="1" ht="19.75" customHeight="1" x14ac:dyDescent="0.25">
      <c r="A1593" s="9">
        <f>2008</f>
        <v>2008</v>
      </c>
      <c r="B1593" s="4" t="s">
        <v>21</v>
      </c>
      <c r="C1593" s="2">
        <v>2311.4281000000001</v>
      </c>
      <c r="D1593" s="14">
        <v>2179.3658</v>
      </c>
    </row>
    <row r="1594" spans="1:4" s="1" customFormat="1" ht="19.75" customHeight="1" x14ac:dyDescent="0.25">
      <c r="A1594" s="9">
        <f>2008</f>
        <v>2008</v>
      </c>
      <c r="B1594" s="4" t="s">
        <v>20</v>
      </c>
      <c r="C1594" s="5">
        <v>142.68559999999999</v>
      </c>
      <c r="D1594" s="13">
        <v>107.80549999999999</v>
      </c>
    </row>
    <row r="1595" spans="1:4" s="1" customFormat="1" ht="19.75" customHeight="1" x14ac:dyDescent="0.25">
      <c r="A1595" s="9">
        <f>2008</f>
        <v>2008</v>
      </c>
      <c r="B1595" s="4" t="s">
        <v>19</v>
      </c>
      <c r="C1595" s="2">
        <v>8.3145000000000007</v>
      </c>
      <c r="D1595" s="14">
        <v>4.8525</v>
      </c>
    </row>
    <row r="1596" spans="1:4" s="1" customFormat="1" ht="19.75" customHeight="1" x14ac:dyDescent="0.25">
      <c r="A1596" s="9">
        <f>2008</f>
        <v>2008</v>
      </c>
      <c r="B1596" s="4" t="s">
        <v>18</v>
      </c>
      <c r="C1596" s="5">
        <v>393.41070000000002</v>
      </c>
      <c r="D1596" s="13">
        <v>88.159899999999993</v>
      </c>
    </row>
    <row r="1597" spans="1:4" s="1" customFormat="1" ht="19.75" customHeight="1" x14ac:dyDescent="0.25">
      <c r="A1597" s="9">
        <f>2008</f>
        <v>2008</v>
      </c>
      <c r="B1597" s="4" t="s">
        <v>17</v>
      </c>
      <c r="C1597" s="2">
        <v>536.50049999999999</v>
      </c>
      <c r="D1597" s="14">
        <v>1054.4573</v>
      </c>
    </row>
    <row r="1598" spans="1:4" s="1" customFormat="1" ht="19.75" customHeight="1" x14ac:dyDescent="0.25">
      <c r="A1598" s="9">
        <f>2008</f>
        <v>2008</v>
      </c>
      <c r="B1598" s="4" t="s">
        <v>16</v>
      </c>
      <c r="C1598" s="5">
        <v>2015.8719000000001</v>
      </c>
      <c r="D1598" s="13">
        <v>2145.1682000000001</v>
      </c>
    </row>
    <row r="1599" spans="1:4" s="1" customFormat="1" ht="19.75" customHeight="1" x14ac:dyDescent="0.25">
      <c r="A1599" s="9">
        <f>2008</f>
        <v>2008</v>
      </c>
      <c r="B1599" s="4" t="s">
        <v>15</v>
      </c>
      <c r="C1599" s="2">
        <v>12.0931</v>
      </c>
      <c r="D1599" s="14">
        <v>5.8921000000000001</v>
      </c>
    </row>
    <row r="1600" spans="1:4" s="1" customFormat="1" ht="19.75" customHeight="1" x14ac:dyDescent="0.25">
      <c r="A1600" s="9">
        <f>2008</f>
        <v>2008</v>
      </c>
      <c r="B1600" s="4" t="s">
        <v>13</v>
      </c>
      <c r="C1600" s="5">
        <v>203.51779999999999</v>
      </c>
      <c r="D1600" s="13">
        <v>128.01140000000001</v>
      </c>
    </row>
    <row r="1601" spans="1:4" s="1" customFormat="1" ht="19.75" customHeight="1" x14ac:dyDescent="0.25">
      <c r="A1601" s="9">
        <f>2008</f>
        <v>2008</v>
      </c>
      <c r="B1601" s="4" t="s">
        <v>88</v>
      </c>
      <c r="C1601" s="2">
        <v>22.931100000000001</v>
      </c>
      <c r="D1601" s="14">
        <v>6.2538999999999998</v>
      </c>
    </row>
    <row r="1602" spans="1:4" s="1" customFormat="1" ht="19.75" customHeight="1" x14ac:dyDescent="0.25">
      <c r="A1602" s="9">
        <f>2008</f>
        <v>2008</v>
      </c>
      <c r="B1602" s="4" t="s">
        <v>11</v>
      </c>
      <c r="C1602" s="5">
        <v>2.3972000000000002</v>
      </c>
      <c r="D1602" s="13">
        <v>2.5767000000000002</v>
      </c>
    </row>
    <row r="1603" spans="1:4" s="1" customFormat="1" ht="19.75" customHeight="1" x14ac:dyDescent="0.25">
      <c r="A1603" s="9">
        <f>2008</f>
        <v>2008</v>
      </c>
      <c r="B1603" s="4" t="s">
        <v>10</v>
      </c>
      <c r="C1603" s="2">
        <v>0.2457</v>
      </c>
      <c r="D1603" s="14">
        <v>5.7065000000000001</v>
      </c>
    </row>
    <row r="1604" spans="1:4" s="1" customFormat="1" ht="19.75" customHeight="1" x14ac:dyDescent="0.25">
      <c r="A1604" s="9">
        <f>2008</f>
        <v>2008</v>
      </c>
      <c r="B1604" s="4" t="s">
        <v>9</v>
      </c>
      <c r="C1604" s="5">
        <v>33.772199999999998</v>
      </c>
      <c r="D1604" s="13">
        <v>25.605599999999999</v>
      </c>
    </row>
    <row r="1605" spans="1:4" s="1" customFormat="1" ht="19.75" customHeight="1" x14ac:dyDescent="0.25">
      <c r="A1605" s="9">
        <f>2008</f>
        <v>2008</v>
      </c>
      <c r="B1605" s="4" t="s">
        <v>8</v>
      </c>
      <c r="C1605" s="2">
        <v>77.044700000000006</v>
      </c>
      <c r="D1605" s="14">
        <v>30.321999999999999</v>
      </c>
    </row>
    <row r="1606" spans="1:4" s="1" customFormat="1" ht="19.75" customHeight="1" x14ac:dyDescent="0.25">
      <c r="A1606" s="9">
        <f>2008</f>
        <v>2008</v>
      </c>
      <c r="B1606" s="4" t="s">
        <v>7</v>
      </c>
      <c r="C1606" s="5">
        <v>0.15959999999999999</v>
      </c>
      <c r="D1606" s="13">
        <v>4.5518000000000001</v>
      </c>
    </row>
    <row r="1607" spans="1:4" s="1" customFormat="1" ht="19.75" customHeight="1" x14ac:dyDescent="0.25">
      <c r="A1607" s="9">
        <f>2008</f>
        <v>2008</v>
      </c>
      <c r="B1607" s="4" t="s">
        <v>6</v>
      </c>
      <c r="C1607" s="2">
        <v>25.740300000000001</v>
      </c>
      <c r="D1607" s="14">
        <v>6.4861000000000004</v>
      </c>
    </row>
    <row r="1608" spans="1:4" s="1" customFormat="1" ht="19.75" customHeight="1" x14ac:dyDescent="0.25">
      <c r="A1608" s="9">
        <f>2008</f>
        <v>2008</v>
      </c>
      <c r="B1608" s="4" t="s">
        <v>5</v>
      </c>
      <c r="C1608" s="5">
        <v>14.752000000000001</v>
      </c>
      <c r="D1608" s="13">
        <v>13.1647</v>
      </c>
    </row>
    <row r="1609" spans="1:4" s="1" customFormat="1" ht="19.75" customHeight="1" x14ac:dyDescent="0.25">
      <c r="A1609" s="9">
        <f>2008</f>
        <v>2008</v>
      </c>
      <c r="B1609" s="4" t="s">
        <v>4</v>
      </c>
      <c r="C1609" s="2">
        <v>165.44309999999999</v>
      </c>
      <c r="D1609" s="14">
        <v>60.791699999999999</v>
      </c>
    </row>
    <row r="1610" spans="1:4" s="1" customFormat="1" ht="19.75" customHeight="1" x14ac:dyDescent="0.25">
      <c r="A1610" s="9">
        <f>2008</f>
        <v>2008</v>
      </c>
      <c r="B1610" s="4" t="s">
        <v>3</v>
      </c>
      <c r="C1610" s="5">
        <v>0.61050000000000004</v>
      </c>
      <c r="D1610" s="13">
        <v>3.3210999999999999</v>
      </c>
    </row>
    <row r="1611" spans="1:4" s="1" customFormat="1" ht="19.75" customHeight="1" x14ac:dyDescent="0.25">
      <c r="A1611" s="9">
        <f>2008</f>
        <v>2008</v>
      </c>
      <c r="B1611" s="4" t="s">
        <v>2</v>
      </c>
      <c r="C1611" s="2">
        <v>2129.9467</v>
      </c>
      <c r="D1611" s="14">
        <v>2050.5812000000001</v>
      </c>
    </row>
    <row r="1612" spans="1:4" s="1" customFormat="1" ht="19.75" customHeight="1" x14ac:dyDescent="0.25">
      <c r="A1612" s="9">
        <f>2008</f>
        <v>2008</v>
      </c>
      <c r="B1612" s="4" t="s">
        <v>1</v>
      </c>
      <c r="C1612" s="5">
        <v>1459.7997</v>
      </c>
      <c r="D1612" s="13">
        <v>1307.1214</v>
      </c>
    </row>
    <row r="1613" spans="1:4" s="1" customFormat="1" ht="19.75" customHeight="1" x14ac:dyDescent="0.25">
      <c r="A1613" s="9">
        <v>2007</v>
      </c>
      <c r="B1613" s="4" t="s">
        <v>87</v>
      </c>
      <c r="C1613" s="2">
        <v>1435.4165</v>
      </c>
      <c r="D1613" s="14">
        <v>752.7595</v>
      </c>
    </row>
    <row r="1614" spans="1:4" s="1" customFormat="1" ht="19.75" customHeight="1" x14ac:dyDescent="0.25">
      <c r="A1614" s="9">
        <v>2007</v>
      </c>
      <c r="B1614" s="4" t="s">
        <v>86</v>
      </c>
      <c r="C1614" s="5">
        <v>2134.5338999999999</v>
      </c>
      <c r="D1614" s="13">
        <v>808.5027</v>
      </c>
    </row>
    <row r="1615" spans="1:4" s="1" customFormat="1" ht="19.75" customHeight="1" x14ac:dyDescent="0.25">
      <c r="A1615" s="9">
        <v>2007</v>
      </c>
      <c r="B1615" s="4" t="s">
        <v>85</v>
      </c>
      <c r="C1615" s="2">
        <v>22184.1348</v>
      </c>
      <c r="D1615" s="14">
        <v>11823.516600000001</v>
      </c>
    </row>
    <row r="1616" spans="1:4" s="1" customFormat="1" ht="19.75" customHeight="1" x14ac:dyDescent="0.25">
      <c r="A1616" s="9">
        <v>2007</v>
      </c>
      <c r="B1616" s="4" t="s">
        <v>84</v>
      </c>
      <c r="C1616" s="5">
        <v>1124.2213999999999</v>
      </c>
      <c r="D1616" s="13">
        <v>409.86829999999998</v>
      </c>
    </row>
    <row r="1617" spans="1:4" s="1" customFormat="1" ht="19.75" customHeight="1" x14ac:dyDescent="0.25">
      <c r="A1617" s="9">
        <v>2007</v>
      </c>
      <c r="B1617" s="4" t="s">
        <v>83</v>
      </c>
      <c r="C1617" s="2">
        <v>1092.9073000000001</v>
      </c>
      <c r="D1617" s="14">
        <v>562.22789999999998</v>
      </c>
    </row>
    <row r="1618" spans="1:4" s="1" customFormat="1" ht="19.75" customHeight="1" x14ac:dyDescent="0.25">
      <c r="A1618" s="9">
        <v>2007</v>
      </c>
      <c r="B1618" s="4" t="s">
        <v>82</v>
      </c>
      <c r="C1618" s="5">
        <v>2059.6282000000001</v>
      </c>
      <c r="D1618" s="13">
        <v>658.59230000000002</v>
      </c>
    </row>
    <row r="1619" spans="1:4" s="1" customFormat="1" ht="19.75" customHeight="1" x14ac:dyDescent="0.25">
      <c r="A1619" s="9">
        <v>2007</v>
      </c>
      <c r="B1619" s="4" t="s">
        <v>81</v>
      </c>
      <c r="C1619" s="2">
        <v>877.22220000000004</v>
      </c>
      <c r="D1619" s="14">
        <v>326.04160000000002</v>
      </c>
    </row>
    <row r="1620" spans="1:4" s="1" customFormat="1" ht="19.75" customHeight="1" x14ac:dyDescent="0.25">
      <c r="A1620" s="9">
        <v>2007</v>
      </c>
      <c r="B1620" s="4" t="s">
        <v>80</v>
      </c>
      <c r="C1620" s="5">
        <v>1698.4385</v>
      </c>
      <c r="D1620" s="13">
        <v>645.24030000000005</v>
      </c>
    </row>
    <row r="1621" spans="1:4" s="1" customFormat="1" ht="19.75" customHeight="1" x14ac:dyDescent="0.25">
      <c r="A1621" s="9">
        <v>2007</v>
      </c>
      <c r="B1621" s="4" t="s">
        <v>79</v>
      </c>
      <c r="C1621" s="2">
        <v>3133.1176999999998</v>
      </c>
      <c r="D1621" s="14">
        <v>1027.2348</v>
      </c>
    </row>
    <row r="1622" spans="1:4" s="1" customFormat="1" ht="19.75" customHeight="1" x14ac:dyDescent="0.25">
      <c r="A1622" s="9">
        <v>2007</v>
      </c>
      <c r="B1622" s="4" t="s">
        <v>78</v>
      </c>
      <c r="C1622" s="5">
        <v>1897.7861</v>
      </c>
      <c r="D1622" s="13">
        <v>933.18629999999996</v>
      </c>
    </row>
    <row r="1623" spans="1:4" s="1" customFormat="1" ht="19.75" customHeight="1" x14ac:dyDescent="0.25">
      <c r="A1623" s="9">
        <v>2007</v>
      </c>
      <c r="B1623" s="4" t="s">
        <v>77</v>
      </c>
      <c r="C1623" s="2">
        <v>5426.5569999999998</v>
      </c>
      <c r="D1623" s="14">
        <v>2544.3134</v>
      </c>
    </row>
    <row r="1624" spans="1:4" s="1" customFormat="1" ht="19.75" customHeight="1" x14ac:dyDescent="0.25">
      <c r="A1624" s="9">
        <v>2007</v>
      </c>
      <c r="B1624" s="4" t="s">
        <v>76</v>
      </c>
      <c r="C1624" s="5">
        <v>5495.8176000000003</v>
      </c>
      <c r="D1624" s="13">
        <v>2608.4303</v>
      </c>
    </row>
    <row r="1625" spans="1:4" s="1" customFormat="1" ht="19.75" customHeight="1" x14ac:dyDescent="0.25">
      <c r="A1625" s="9">
        <v>2007</v>
      </c>
      <c r="B1625" s="4" t="s">
        <v>75</v>
      </c>
      <c r="C1625" s="2">
        <v>1627.8408999999999</v>
      </c>
      <c r="D1625" s="14">
        <v>746.05240000000003</v>
      </c>
    </row>
    <row r="1626" spans="1:4" s="1" customFormat="1" ht="19.75" customHeight="1" x14ac:dyDescent="0.25">
      <c r="A1626" s="9">
        <v>2007</v>
      </c>
      <c r="B1626" s="4" t="s">
        <v>74</v>
      </c>
      <c r="C1626" s="5">
        <v>7337.7304999999997</v>
      </c>
      <c r="D1626" s="13">
        <v>2565.3054000000002</v>
      </c>
    </row>
    <row r="1627" spans="1:4" s="1" customFormat="1" ht="19.75" customHeight="1" x14ac:dyDescent="0.25">
      <c r="A1627" s="9">
        <v>2007</v>
      </c>
      <c r="B1627" s="4" t="s">
        <v>73</v>
      </c>
      <c r="C1627" s="2">
        <v>3759.7878000000001</v>
      </c>
      <c r="D1627" s="14">
        <v>1684.3561</v>
      </c>
    </row>
    <row r="1628" spans="1:4" s="1" customFormat="1" ht="19.75" customHeight="1" x14ac:dyDescent="0.25">
      <c r="A1628" s="9">
        <v>2007</v>
      </c>
      <c r="B1628" s="4" t="s">
        <v>72</v>
      </c>
      <c r="C1628" s="5">
        <v>2052.3679000000002</v>
      </c>
      <c r="D1628" s="13">
        <v>803.59630000000004</v>
      </c>
    </row>
    <row r="1629" spans="1:4" s="1" customFormat="1" ht="19.75" customHeight="1" x14ac:dyDescent="0.25">
      <c r="A1629" s="9">
        <v>2007</v>
      </c>
      <c r="B1629" s="4" t="s">
        <v>71</v>
      </c>
      <c r="C1629" s="2">
        <v>1263.1573000000001</v>
      </c>
      <c r="D1629" s="14">
        <v>611.51430000000005</v>
      </c>
    </row>
    <row r="1630" spans="1:4" s="1" customFormat="1" ht="19.75" customHeight="1" x14ac:dyDescent="0.25">
      <c r="A1630" s="9">
        <v>2007</v>
      </c>
      <c r="B1630" s="4" t="s">
        <v>70</v>
      </c>
      <c r="C1630" s="5">
        <v>5687.49</v>
      </c>
      <c r="D1630" s="13">
        <v>778.46619999999996</v>
      </c>
    </row>
    <row r="1631" spans="1:4" s="1" customFormat="1" ht="19.75" customHeight="1" x14ac:dyDescent="0.25">
      <c r="A1631" s="9">
        <v>2007</v>
      </c>
      <c r="B1631" s="4" t="s">
        <v>69</v>
      </c>
      <c r="C1631" s="2">
        <v>2412.6167</v>
      </c>
      <c r="D1631" s="14">
        <v>1246.6498999999999</v>
      </c>
    </row>
    <row r="1632" spans="1:4" s="1" customFormat="1" ht="19.75" customHeight="1" x14ac:dyDescent="0.25">
      <c r="A1632" s="9">
        <v>2007</v>
      </c>
      <c r="B1632" s="4" t="s">
        <v>68</v>
      </c>
      <c r="C1632" s="5">
        <v>3271.2737000000002</v>
      </c>
      <c r="D1632" s="13">
        <v>1387.8105</v>
      </c>
    </row>
    <row r="1633" spans="1:4" s="1" customFormat="1" ht="19.75" customHeight="1" x14ac:dyDescent="0.25">
      <c r="A1633" s="9">
        <v>2007</v>
      </c>
      <c r="B1633" s="4" t="s">
        <v>67</v>
      </c>
      <c r="C1633" s="2">
        <v>3473.5830999999998</v>
      </c>
      <c r="D1633" s="14">
        <v>997.88549999999998</v>
      </c>
    </row>
    <row r="1634" spans="1:4" s="1" customFormat="1" ht="19.75" customHeight="1" x14ac:dyDescent="0.25">
      <c r="A1634" s="9">
        <v>2007</v>
      </c>
      <c r="B1634" s="4" t="s">
        <v>66</v>
      </c>
      <c r="C1634" s="5">
        <v>959.86270000000002</v>
      </c>
      <c r="D1634" s="13">
        <v>523.06889999999999</v>
      </c>
    </row>
    <row r="1635" spans="1:4" s="1" customFormat="1" ht="19.75" customHeight="1" x14ac:dyDescent="0.25">
      <c r="A1635" s="9">
        <v>2007</v>
      </c>
      <c r="B1635" s="4" t="s">
        <v>65</v>
      </c>
      <c r="C1635" s="2">
        <v>6022.9066999999995</v>
      </c>
      <c r="D1635" s="14">
        <v>3326.2310000000002</v>
      </c>
    </row>
    <row r="1636" spans="1:4" s="1" customFormat="1" ht="19.75" customHeight="1" x14ac:dyDescent="0.25">
      <c r="A1636" s="9">
        <v>2007</v>
      </c>
      <c r="B1636" s="4" t="s">
        <v>64</v>
      </c>
      <c r="C1636" s="5">
        <v>3890.0162</v>
      </c>
      <c r="D1636" s="13">
        <v>1385.9752000000001</v>
      </c>
    </row>
    <row r="1637" spans="1:4" s="1" customFormat="1" ht="19.75" customHeight="1" x14ac:dyDescent="0.25">
      <c r="A1637" s="9">
        <v>2007</v>
      </c>
      <c r="B1637" s="4" t="s">
        <v>63</v>
      </c>
      <c r="C1637" s="2">
        <v>3623.1642000000002</v>
      </c>
      <c r="D1637" s="14">
        <v>1192.5713000000001</v>
      </c>
    </row>
    <row r="1638" spans="1:4" s="1" customFormat="1" ht="19.75" customHeight="1" x14ac:dyDescent="0.25">
      <c r="A1638" s="9">
        <v>2007</v>
      </c>
      <c r="B1638" s="4" t="s">
        <v>62</v>
      </c>
      <c r="C1638" s="5">
        <v>4591.9601000000002</v>
      </c>
      <c r="D1638" s="13">
        <v>1475.9306999999999</v>
      </c>
    </row>
    <row r="1639" spans="1:4" s="1" customFormat="1" ht="19.75" customHeight="1" x14ac:dyDescent="0.25">
      <c r="A1639" s="9">
        <v>2007</v>
      </c>
      <c r="B1639" s="4" t="s">
        <v>61</v>
      </c>
      <c r="C1639" s="2">
        <v>1675.2017000000001</v>
      </c>
      <c r="D1639" s="14">
        <v>778.47029999999995</v>
      </c>
    </row>
    <row r="1640" spans="1:4" s="1" customFormat="1" ht="19.75" customHeight="1" x14ac:dyDescent="0.25">
      <c r="A1640" s="9">
        <v>2007</v>
      </c>
      <c r="B1640" s="4" t="s">
        <v>60</v>
      </c>
      <c r="C1640" s="5">
        <v>1751.1615999999999</v>
      </c>
      <c r="D1640" s="13">
        <v>650.7174</v>
      </c>
    </row>
    <row r="1641" spans="1:4" s="1" customFormat="1" ht="19.75" customHeight="1" x14ac:dyDescent="0.25">
      <c r="A1641" s="9">
        <v>2007</v>
      </c>
      <c r="B1641" s="4" t="s">
        <v>59</v>
      </c>
      <c r="C1641" s="2">
        <v>2993.3172</v>
      </c>
      <c r="D1641" s="14">
        <v>1214.5984000000001</v>
      </c>
    </row>
    <row r="1642" spans="1:4" s="1" customFormat="1" ht="19.75" customHeight="1" x14ac:dyDescent="0.25">
      <c r="A1642" s="9">
        <v>2007</v>
      </c>
      <c r="B1642" s="4" t="s">
        <v>57</v>
      </c>
      <c r="C1642" s="5">
        <v>439.39749999999998</v>
      </c>
      <c r="D1642" s="13">
        <v>250.73759999999999</v>
      </c>
    </row>
    <row r="1643" spans="1:4" s="1" customFormat="1" ht="19.75" customHeight="1" x14ac:dyDescent="0.25">
      <c r="A1643" s="9">
        <v>2007</v>
      </c>
      <c r="B1643" s="4" t="s">
        <v>55</v>
      </c>
      <c r="C1643" s="2">
        <v>698.95</v>
      </c>
      <c r="D1643" s="14">
        <v>705.82</v>
      </c>
    </row>
    <row r="1644" spans="1:4" s="1" customFormat="1" ht="19.75" customHeight="1" x14ac:dyDescent="0.25">
      <c r="A1644" s="9">
        <v>2007</v>
      </c>
      <c r="B1644" s="4" t="s">
        <v>54</v>
      </c>
      <c r="C1644" s="5">
        <v>232.5575</v>
      </c>
      <c r="D1644" s="13">
        <v>90.095600000000005</v>
      </c>
    </row>
    <row r="1645" spans="1:4" s="1" customFormat="1" ht="19.75" customHeight="1" x14ac:dyDescent="0.25">
      <c r="A1645" s="9">
        <v>2007</v>
      </c>
      <c r="B1645" s="4" t="s">
        <v>53</v>
      </c>
      <c r="C1645" s="2">
        <v>251.52180000000001</v>
      </c>
      <c r="D1645" s="14">
        <v>137.40219999999999</v>
      </c>
    </row>
    <row r="1646" spans="1:4" s="1" customFormat="1" ht="19.75" customHeight="1" x14ac:dyDescent="0.25">
      <c r="A1646" s="9">
        <v>2007</v>
      </c>
      <c r="B1646" s="4" t="s">
        <v>52</v>
      </c>
      <c r="C1646" s="5">
        <v>227.37540000000001</v>
      </c>
      <c r="D1646" s="13">
        <v>171.06880000000001</v>
      </c>
    </row>
    <row r="1647" spans="1:4" s="1" customFormat="1" ht="19.75" customHeight="1" x14ac:dyDescent="0.25">
      <c r="A1647" s="9">
        <v>2007</v>
      </c>
      <c r="B1647" s="4" t="s">
        <v>51</v>
      </c>
      <c r="C1647" s="2">
        <v>149.77180000000001</v>
      </c>
      <c r="D1647" s="14">
        <v>87.758799999999994</v>
      </c>
    </row>
    <row r="1648" spans="1:4" s="1" customFormat="1" ht="19.75" customHeight="1" x14ac:dyDescent="0.25">
      <c r="A1648" s="9">
        <v>2007</v>
      </c>
      <c r="B1648" s="4" t="s">
        <v>50</v>
      </c>
      <c r="C1648" s="5">
        <v>1084.9583</v>
      </c>
      <c r="D1648" s="13">
        <v>406.10059999999999</v>
      </c>
    </row>
    <row r="1649" spans="1:4" s="1" customFormat="1" ht="19.75" customHeight="1" x14ac:dyDescent="0.25">
      <c r="A1649" s="9">
        <v>2007</v>
      </c>
      <c r="B1649" s="4" t="s">
        <v>48</v>
      </c>
      <c r="C1649" s="2">
        <v>3179.45</v>
      </c>
      <c r="D1649" s="14">
        <v>2420.8000000000002</v>
      </c>
    </row>
    <row r="1650" spans="1:4" s="1" customFormat="1" ht="19.75" customHeight="1" x14ac:dyDescent="0.25">
      <c r="A1650" s="9">
        <v>2007</v>
      </c>
      <c r="B1650" s="4" t="s">
        <v>47</v>
      </c>
      <c r="C1650" s="5">
        <v>16358.4984</v>
      </c>
      <c r="D1650" s="13">
        <v>6690.5564000000004</v>
      </c>
    </row>
    <row r="1651" spans="1:4" s="1" customFormat="1" ht="19.75" customHeight="1" x14ac:dyDescent="0.25">
      <c r="A1651" s="9">
        <v>2007</v>
      </c>
      <c r="B1651" s="4" t="s">
        <v>46</v>
      </c>
      <c r="C1651" s="2">
        <v>1228.8469</v>
      </c>
      <c r="D1651" s="14">
        <v>343.95620000000002</v>
      </c>
    </row>
    <row r="1652" spans="1:4" s="1" customFormat="1" ht="19.75" customHeight="1" x14ac:dyDescent="0.25">
      <c r="A1652" s="9">
        <v>2007</v>
      </c>
      <c r="B1652" s="4" t="s">
        <v>45</v>
      </c>
      <c r="C1652" s="5">
        <v>822.04179999999997</v>
      </c>
      <c r="D1652" s="13">
        <v>505.01729999999998</v>
      </c>
    </row>
    <row r="1653" spans="1:4" s="1" customFormat="1" ht="19.75" customHeight="1" x14ac:dyDescent="0.25">
      <c r="A1653" s="9">
        <v>2007</v>
      </c>
      <c r="B1653" s="4" t="s">
        <v>44</v>
      </c>
      <c r="C1653" s="2">
        <v>1131.4819</v>
      </c>
      <c r="D1653" s="14">
        <v>372.44029999999998</v>
      </c>
    </row>
    <row r="1654" spans="1:4" s="1" customFormat="1" ht="19.75" customHeight="1" x14ac:dyDescent="0.25">
      <c r="A1654" s="9">
        <v>2007</v>
      </c>
      <c r="B1654" s="4" t="s">
        <v>43</v>
      </c>
      <c r="C1654" s="5">
        <v>836.39049999999997</v>
      </c>
      <c r="D1654" s="13">
        <v>237.54519999999999</v>
      </c>
    </row>
    <row r="1655" spans="1:4" s="1" customFormat="1" ht="19.75" customHeight="1" x14ac:dyDescent="0.25">
      <c r="A1655" s="9">
        <v>2007</v>
      </c>
      <c r="B1655" s="4" t="s">
        <v>42</v>
      </c>
      <c r="C1655" s="2">
        <v>520.28530000000001</v>
      </c>
      <c r="D1655" s="14">
        <v>192.4847</v>
      </c>
    </row>
    <row r="1656" spans="1:4" s="1" customFormat="1" ht="19.75" customHeight="1" x14ac:dyDescent="0.25">
      <c r="A1656" s="9">
        <v>2007</v>
      </c>
      <c r="B1656" s="4" t="s">
        <v>41</v>
      </c>
      <c r="C1656" s="5">
        <v>699.23969999999997</v>
      </c>
      <c r="D1656" s="13">
        <v>612.70730000000003</v>
      </c>
    </row>
    <row r="1657" spans="1:4" s="1" customFormat="1" ht="19.75" customHeight="1" x14ac:dyDescent="0.25">
      <c r="A1657" s="9">
        <v>2007</v>
      </c>
      <c r="B1657" s="4" t="s">
        <v>40</v>
      </c>
      <c r="C1657" s="2">
        <v>299.1798</v>
      </c>
      <c r="D1657" s="14">
        <v>102.2229</v>
      </c>
    </row>
    <row r="1658" spans="1:4" s="1" customFormat="1" ht="19.75" customHeight="1" x14ac:dyDescent="0.25">
      <c r="A1658" s="9">
        <v>2007</v>
      </c>
      <c r="B1658" s="4" t="s">
        <v>39</v>
      </c>
      <c r="C1658" s="5">
        <v>144.0401</v>
      </c>
      <c r="D1658" s="13">
        <v>57.092700000000001</v>
      </c>
    </row>
    <row r="1659" spans="1:4" s="1" customFormat="1" ht="19.75" customHeight="1" x14ac:dyDescent="0.25">
      <c r="A1659" s="9">
        <v>2007</v>
      </c>
      <c r="B1659" s="4" t="s">
        <v>38</v>
      </c>
      <c r="C1659" s="2">
        <v>55.474400000000003</v>
      </c>
      <c r="D1659" s="14">
        <v>33.871400000000001</v>
      </c>
    </row>
    <row r="1660" spans="1:4" s="1" customFormat="1" ht="19.75" customHeight="1" x14ac:dyDescent="0.25">
      <c r="A1660" s="9">
        <v>2007</v>
      </c>
      <c r="B1660" s="4" t="s">
        <v>37</v>
      </c>
      <c r="C1660" s="5">
        <v>42.439799999999998</v>
      </c>
      <c r="D1660" s="13">
        <v>32.145800000000001</v>
      </c>
    </row>
    <row r="1661" spans="1:4" s="1" customFormat="1" ht="19.75" customHeight="1" x14ac:dyDescent="0.25">
      <c r="A1661" s="9">
        <v>2007</v>
      </c>
      <c r="B1661" s="4" t="s">
        <v>36</v>
      </c>
      <c r="C1661" s="2">
        <v>70.995400000000004</v>
      </c>
      <c r="D1661" s="14">
        <v>86.526799999999994</v>
      </c>
    </row>
    <row r="1662" spans="1:4" s="1" customFormat="1" ht="19.75" customHeight="1" x14ac:dyDescent="0.25">
      <c r="A1662" s="9">
        <v>2007</v>
      </c>
      <c r="B1662" s="4" t="s">
        <v>35</v>
      </c>
      <c r="C1662" s="5">
        <v>22.7105</v>
      </c>
      <c r="D1662" s="13">
        <v>9.3862000000000005</v>
      </c>
    </row>
    <row r="1663" spans="1:4" s="1" customFormat="1" ht="19.75" customHeight="1" x14ac:dyDescent="0.25">
      <c r="A1663" s="9">
        <v>2007</v>
      </c>
      <c r="B1663" s="4" t="s">
        <v>34</v>
      </c>
      <c r="C1663" s="2">
        <v>609.09169999999995</v>
      </c>
      <c r="D1663" s="14">
        <v>218.85509999999999</v>
      </c>
    </row>
    <row r="1664" spans="1:4" s="1" customFormat="1" ht="19.75" customHeight="1" x14ac:dyDescent="0.25">
      <c r="A1664" s="9">
        <v>2007</v>
      </c>
      <c r="B1664" s="4" t="s">
        <v>33</v>
      </c>
      <c r="C1664" s="5">
        <v>342.2079</v>
      </c>
      <c r="D1664" s="13">
        <v>147.43629999999999</v>
      </c>
    </row>
    <row r="1665" spans="1:4" s="1" customFormat="1" ht="19.75" customHeight="1" x14ac:dyDescent="0.25">
      <c r="A1665" s="9">
        <v>2007</v>
      </c>
      <c r="B1665" s="4" t="s">
        <v>31</v>
      </c>
      <c r="C1665" s="2">
        <v>416.25659999999999</v>
      </c>
      <c r="D1665" s="14">
        <v>193.4999</v>
      </c>
    </row>
    <row r="1666" spans="1:4" s="1" customFormat="1" ht="19.75" customHeight="1" x14ac:dyDescent="0.25">
      <c r="A1666" s="9">
        <v>2007</v>
      </c>
      <c r="B1666" s="4" t="s">
        <v>30</v>
      </c>
      <c r="C1666" s="5">
        <v>0.52990000000000004</v>
      </c>
      <c r="D1666" s="13">
        <v>4.1677</v>
      </c>
    </row>
    <row r="1667" spans="1:4" s="1" customFormat="1" ht="19.75" customHeight="1" x14ac:dyDescent="0.25">
      <c r="A1667" s="9">
        <v>2007</v>
      </c>
      <c r="B1667" s="4" t="s">
        <v>29</v>
      </c>
      <c r="C1667" s="2">
        <v>32.271599999999999</v>
      </c>
      <c r="D1667" s="14">
        <v>18.894400000000001</v>
      </c>
    </row>
    <row r="1668" spans="1:4" s="1" customFormat="1" ht="19.75" customHeight="1" x14ac:dyDescent="0.25">
      <c r="A1668" s="9">
        <v>2007</v>
      </c>
      <c r="B1668" s="4" t="s">
        <v>28</v>
      </c>
      <c r="C1668" s="5">
        <v>166.6977</v>
      </c>
      <c r="D1668" s="13">
        <v>339.40870000000001</v>
      </c>
    </row>
    <row r="1669" spans="1:4" s="1" customFormat="1" ht="19.75" customHeight="1" x14ac:dyDescent="0.25">
      <c r="A1669" s="9">
        <v>2007</v>
      </c>
      <c r="B1669" s="4" t="s">
        <v>27</v>
      </c>
      <c r="C1669" s="2">
        <v>169.05789999999999</v>
      </c>
      <c r="D1669" s="14">
        <v>139.78399999999999</v>
      </c>
    </row>
    <row r="1670" spans="1:4" s="1" customFormat="1" ht="19.75" customHeight="1" x14ac:dyDescent="0.25">
      <c r="A1670" s="9">
        <v>2007</v>
      </c>
      <c r="B1670" s="4" t="s">
        <v>26</v>
      </c>
      <c r="C1670" s="5">
        <v>17.284500000000001</v>
      </c>
      <c r="D1670" s="13">
        <v>10.727499999999999</v>
      </c>
    </row>
    <row r="1671" spans="1:4" s="1" customFormat="1" ht="19.75" customHeight="1" x14ac:dyDescent="0.25">
      <c r="A1671" s="9">
        <v>2007</v>
      </c>
      <c r="B1671" s="4" t="s">
        <v>25</v>
      </c>
      <c r="C1671" s="2">
        <v>4.0053000000000001</v>
      </c>
      <c r="D1671" s="14">
        <v>2.6778</v>
      </c>
    </row>
    <row r="1672" spans="1:4" s="1" customFormat="1" ht="19.75" customHeight="1" x14ac:dyDescent="0.25">
      <c r="A1672" s="9">
        <v>2007</v>
      </c>
      <c r="B1672" s="4" t="s">
        <v>24</v>
      </c>
      <c r="C1672" s="5">
        <v>179.16370000000001</v>
      </c>
      <c r="D1672" s="13">
        <v>39.890599999999999</v>
      </c>
    </row>
    <row r="1673" spans="1:4" s="1" customFormat="1" ht="19.75" customHeight="1" x14ac:dyDescent="0.25">
      <c r="A1673" s="9">
        <v>2007</v>
      </c>
      <c r="B1673" s="4" t="s">
        <v>23</v>
      </c>
      <c r="C1673" s="2">
        <v>70.956900000000005</v>
      </c>
      <c r="D1673" s="14">
        <v>128.14869999999999</v>
      </c>
    </row>
    <row r="1674" spans="1:4" s="1" customFormat="1" ht="19.75" customHeight="1" x14ac:dyDescent="0.25">
      <c r="A1674" s="9">
        <v>2007</v>
      </c>
      <c r="B1674" s="4" t="s">
        <v>22</v>
      </c>
      <c r="C1674" s="5">
        <v>172.46979999999999</v>
      </c>
      <c r="D1674" s="13">
        <v>129.33090000000001</v>
      </c>
    </row>
    <row r="1675" spans="1:4" s="1" customFormat="1" ht="19.75" customHeight="1" x14ac:dyDescent="0.25">
      <c r="A1675" s="9">
        <v>2007</v>
      </c>
      <c r="B1675" s="4" t="s">
        <v>21</v>
      </c>
      <c r="C1675" s="2">
        <v>1696.3689999999999</v>
      </c>
      <c r="D1675" s="14">
        <v>1852.6560999999999</v>
      </c>
    </row>
    <row r="1676" spans="1:4" s="1" customFormat="1" ht="19.75" customHeight="1" x14ac:dyDescent="0.25">
      <c r="A1676" s="9">
        <v>2007</v>
      </c>
      <c r="B1676" s="4" t="s">
        <v>20</v>
      </c>
      <c r="C1676" s="5">
        <v>95.33</v>
      </c>
      <c r="D1676" s="13">
        <v>79.066199999999995</v>
      </c>
    </row>
    <row r="1677" spans="1:4" s="1" customFormat="1" ht="19.75" customHeight="1" x14ac:dyDescent="0.25">
      <c r="A1677" s="9">
        <v>2007</v>
      </c>
      <c r="B1677" s="4" t="s">
        <v>19</v>
      </c>
      <c r="C1677" s="2">
        <v>6.9654999999999996</v>
      </c>
      <c r="D1677" s="14">
        <v>4.1497000000000002</v>
      </c>
    </row>
    <row r="1678" spans="1:4" s="1" customFormat="1" ht="19.75" customHeight="1" x14ac:dyDescent="0.25">
      <c r="A1678" s="9">
        <v>2007</v>
      </c>
      <c r="B1678" s="4" t="s">
        <v>18</v>
      </c>
      <c r="C1678" s="5">
        <v>242.46860000000001</v>
      </c>
      <c r="D1678" s="13">
        <v>74.115600000000001</v>
      </c>
    </row>
    <row r="1679" spans="1:4" s="1" customFormat="1" ht="19.75" customHeight="1" x14ac:dyDescent="0.25">
      <c r="A1679" s="9">
        <v>2007</v>
      </c>
      <c r="B1679" s="4" t="s">
        <v>17</v>
      </c>
      <c r="C1679" s="2">
        <v>467.06799999999998</v>
      </c>
      <c r="D1679" s="14">
        <v>744.38930000000005</v>
      </c>
    </row>
    <row r="1680" spans="1:4" s="1" customFormat="1" ht="19.75" customHeight="1" x14ac:dyDescent="0.25">
      <c r="A1680" s="9">
        <v>2007</v>
      </c>
      <c r="B1680" s="4" t="s">
        <v>16</v>
      </c>
      <c r="C1680" s="5">
        <v>1213.386</v>
      </c>
      <c r="D1680" s="13">
        <v>1584.4861000000001</v>
      </c>
    </row>
    <row r="1681" spans="1:4" s="1" customFormat="1" ht="19.75" customHeight="1" x14ac:dyDescent="0.25">
      <c r="A1681" s="9">
        <v>2007</v>
      </c>
      <c r="B1681" s="4" t="s">
        <v>15</v>
      </c>
      <c r="C1681" s="2">
        <v>12.793799999999999</v>
      </c>
      <c r="D1681" s="14">
        <v>5.7983000000000002</v>
      </c>
    </row>
    <row r="1682" spans="1:4" s="1" customFormat="1" ht="19.75" customHeight="1" x14ac:dyDescent="0.25">
      <c r="A1682" s="9">
        <v>2007</v>
      </c>
      <c r="B1682" s="4" t="s">
        <v>13</v>
      </c>
      <c r="C1682" s="5">
        <v>127.34739999999999</v>
      </c>
      <c r="D1682" s="13">
        <v>70.569699999999997</v>
      </c>
    </row>
    <row r="1683" spans="1:4" s="1" customFormat="1" ht="19.75" customHeight="1" x14ac:dyDescent="0.25">
      <c r="A1683" s="9">
        <v>2007</v>
      </c>
      <c r="B1683" s="4" t="s">
        <v>12</v>
      </c>
      <c r="C1683" s="2">
        <v>24.555399999999999</v>
      </c>
      <c r="D1683" s="14">
        <v>5.7961999999999998</v>
      </c>
    </row>
    <row r="1684" spans="1:4" s="1" customFormat="1" ht="19.75" customHeight="1" x14ac:dyDescent="0.25">
      <c r="A1684" s="9">
        <v>2007</v>
      </c>
      <c r="B1684" s="4" t="s">
        <v>11</v>
      </c>
      <c r="C1684" s="5">
        <v>1.0757000000000001</v>
      </c>
      <c r="D1684" s="13">
        <v>2.6478999999999999</v>
      </c>
    </row>
    <row r="1685" spans="1:4" s="1" customFormat="1" ht="19.75" customHeight="1" x14ac:dyDescent="0.25">
      <c r="A1685" s="9">
        <v>2007</v>
      </c>
      <c r="B1685" s="4" t="s">
        <v>10</v>
      </c>
      <c r="C1685" s="2">
        <v>0.6845</v>
      </c>
      <c r="D1685" s="14">
        <v>5.6661000000000001</v>
      </c>
    </row>
    <row r="1686" spans="1:4" s="1" customFormat="1" ht="19.75" customHeight="1" x14ac:dyDescent="0.25">
      <c r="A1686" s="9">
        <v>2007</v>
      </c>
      <c r="B1686" s="4" t="s">
        <v>9</v>
      </c>
      <c r="C1686" s="5">
        <v>15.167</v>
      </c>
      <c r="D1686" s="13">
        <v>17.142900000000001</v>
      </c>
    </row>
    <row r="1687" spans="1:4" s="1" customFormat="1" ht="19.75" customHeight="1" x14ac:dyDescent="0.25">
      <c r="A1687" s="9">
        <v>2007</v>
      </c>
      <c r="B1687" s="4" t="s">
        <v>8</v>
      </c>
      <c r="C1687" s="2">
        <v>47.652900000000002</v>
      </c>
      <c r="D1687" s="14">
        <v>41.728200000000001</v>
      </c>
    </row>
    <row r="1688" spans="1:4" s="1" customFormat="1" ht="19.75" customHeight="1" x14ac:dyDescent="0.25">
      <c r="A1688" s="9">
        <v>2007</v>
      </c>
      <c r="B1688" s="4" t="s">
        <v>7</v>
      </c>
      <c r="C1688" s="5">
        <v>1.4027000000000001</v>
      </c>
      <c r="D1688" s="13">
        <v>2.6217000000000001</v>
      </c>
    </row>
    <row r="1689" spans="1:4" s="1" customFormat="1" ht="19.75" customHeight="1" x14ac:dyDescent="0.25">
      <c r="A1689" s="9">
        <v>2007</v>
      </c>
      <c r="B1689" s="4" t="s">
        <v>6</v>
      </c>
      <c r="C1689" s="2">
        <v>24.733699999999999</v>
      </c>
      <c r="D1689" s="14">
        <v>6.4135</v>
      </c>
    </row>
    <row r="1690" spans="1:4" s="1" customFormat="1" ht="19.75" customHeight="1" x14ac:dyDescent="0.25">
      <c r="A1690" s="9">
        <v>2007</v>
      </c>
      <c r="B1690" s="4" t="s">
        <v>5</v>
      </c>
      <c r="C1690" s="5">
        <v>6.1375000000000002</v>
      </c>
      <c r="D1690" s="13">
        <v>8.8434000000000008</v>
      </c>
    </row>
    <row r="1691" spans="1:4" s="1" customFormat="1" ht="19.75" customHeight="1" x14ac:dyDescent="0.25">
      <c r="A1691" s="9">
        <v>2007</v>
      </c>
      <c r="B1691" s="4" t="s">
        <v>4</v>
      </c>
      <c r="C1691" s="2">
        <v>116.8959</v>
      </c>
      <c r="D1691" s="14">
        <v>48.570799999999998</v>
      </c>
    </row>
    <row r="1692" spans="1:4" s="1" customFormat="1" ht="19.75" customHeight="1" x14ac:dyDescent="0.25">
      <c r="A1692" s="9">
        <v>2007</v>
      </c>
      <c r="B1692" s="4" t="s">
        <v>3</v>
      </c>
      <c r="C1692" s="5">
        <v>0.71430000000000005</v>
      </c>
      <c r="D1692" s="13">
        <v>3.0411999999999999</v>
      </c>
    </row>
    <row r="1693" spans="1:4" s="1" customFormat="1" ht="19.75" customHeight="1" x14ac:dyDescent="0.25">
      <c r="A1693" s="9">
        <v>2007</v>
      </c>
      <c r="B1693" s="4" t="s">
        <v>2</v>
      </c>
      <c r="C1693" s="2">
        <v>1651.8869</v>
      </c>
      <c r="D1693" s="14">
        <v>1403.6781000000001</v>
      </c>
    </row>
    <row r="1694" spans="1:4" s="1" customFormat="1" ht="19.75" customHeight="1" x14ac:dyDescent="0.25">
      <c r="A1694" s="9">
        <v>2007</v>
      </c>
      <c r="B1694" s="4" t="s">
        <v>1</v>
      </c>
      <c r="C1694" s="5">
        <v>1038.4137000000001</v>
      </c>
      <c r="D1694" s="13">
        <v>970.20540000000005</v>
      </c>
    </row>
    <row r="1695" spans="1:4" s="1" customFormat="1" ht="19.75" customHeight="1" x14ac:dyDescent="0.25">
      <c r="A1695" s="9">
        <f>2006</f>
        <v>2006</v>
      </c>
      <c r="B1695" s="4" t="s">
        <v>87</v>
      </c>
      <c r="C1695" s="2">
        <v>972.87829999999997</v>
      </c>
      <c r="D1695" s="14">
        <v>759.78650000000005</v>
      </c>
    </row>
    <row r="1696" spans="1:4" s="1" customFormat="1" ht="19.75" customHeight="1" x14ac:dyDescent="0.25">
      <c r="A1696" s="9">
        <f>2006</f>
        <v>2006</v>
      </c>
      <c r="B1696" s="4" t="s">
        <v>86</v>
      </c>
      <c r="C1696" s="5">
        <v>1654.5464999999999</v>
      </c>
      <c r="D1696" s="13">
        <v>816.12170000000003</v>
      </c>
    </row>
    <row r="1697" spans="1:4" s="1" customFormat="1" ht="19.75" customHeight="1" x14ac:dyDescent="0.25">
      <c r="A1697" s="9">
        <f>2006</f>
        <v>2006</v>
      </c>
      <c r="B1697" s="4" t="s">
        <v>85</v>
      </c>
      <c r="C1697" s="2">
        <v>20390.447</v>
      </c>
      <c r="D1697" s="14">
        <v>11725.097400000001</v>
      </c>
    </row>
    <row r="1698" spans="1:4" s="1" customFormat="1" ht="19.75" customHeight="1" x14ac:dyDescent="0.25">
      <c r="A1698" s="9">
        <f>2006</f>
        <v>2006</v>
      </c>
      <c r="B1698" s="4" t="s">
        <v>84</v>
      </c>
      <c r="C1698" s="5">
        <v>781.17380000000003</v>
      </c>
      <c r="D1698" s="13">
        <v>397.18509999999998</v>
      </c>
    </row>
    <row r="1699" spans="1:4" s="1" customFormat="1" ht="19.75" customHeight="1" x14ac:dyDescent="0.25">
      <c r="A1699" s="9">
        <f>2006</f>
        <v>2006</v>
      </c>
      <c r="B1699" s="4" t="s">
        <v>83</v>
      </c>
      <c r="C1699" s="2">
        <v>735.0915</v>
      </c>
      <c r="D1699" s="14">
        <v>509.4837</v>
      </c>
    </row>
    <row r="1700" spans="1:4" s="1" customFormat="1" ht="19.75" customHeight="1" x14ac:dyDescent="0.25">
      <c r="A1700" s="9">
        <f>2006</f>
        <v>2006</v>
      </c>
      <c r="B1700" s="4" t="s">
        <v>82</v>
      </c>
      <c r="C1700" s="5">
        <v>1464.8728000000001</v>
      </c>
      <c r="D1700" s="13">
        <v>611.54769999999996</v>
      </c>
    </row>
    <row r="1701" spans="1:4" s="1" customFormat="1" ht="19.75" customHeight="1" x14ac:dyDescent="0.25">
      <c r="A1701" s="9">
        <f>2006</f>
        <v>2006</v>
      </c>
      <c r="B1701" s="4" t="s">
        <v>81</v>
      </c>
      <c r="C1701" s="2">
        <v>697.60410000000002</v>
      </c>
      <c r="D1701" s="14">
        <v>308.36450000000002</v>
      </c>
    </row>
    <row r="1702" spans="1:4" s="1" customFormat="1" ht="19.75" customHeight="1" x14ac:dyDescent="0.25">
      <c r="A1702" s="9">
        <f>2006</f>
        <v>2006</v>
      </c>
      <c r="B1702" s="4" t="s">
        <v>80</v>
      </c>
      <c r="C1702" s="5">
        <v>1343.4889000000001</v>
      </c>
      <c r="D1702" s="13">
        <v>632.36720000000003</v>
      </c>
    </row>
    <row r="1703" spans="1:4" s="1" customFormat="1" ht="19.75" customHeight="1" x14ac:dyDescent="0.25">
      <c r="A1703" s="9">
        <f>2006</f>
        <v>2006</v>
      </c>
      <c r="B1703" s="4" t="s">
        <v>79</v>
      </c>
      <c r="C1703" s="2">
        <v>2189.7963</v>
      </c>
      <c r="D1703" s="14">
        <v>1035.7533000000001</v>
      </c>
    </row>
    <row r="1704" spans="1:4" s="1" customFormat="1" ht="19.75" customHeight="1" x14ac:dyDescent="0.25">
      <c r="A1704" s="9">
        <f>2006</f>
        <v>2006</v>
      </c>
      <c r="B1704" s="4" t="s">
        <v>78</v>
      </c>
      <c r="C1704" s="5">
        <v>1506.1507999999999</v>
      </c>
      <c r="D1704" s="13">
        <v>857.9357</v>
      </c>
    </row>
    <row r="1705" spans="1:4" s="1" customFormat="1" ht="19.75" customHeight="1" x14ac:dyDescent="0.25">
      <c r="A1705" s="9">
        <f>2006</f>
        <v>2006</v>
      </c>
      <c r="B1705" s="4" t="s">
        <v>77</v>
      </c>
      <c r="C1705" s="2">
        <v>3875.0873000000001</v>
      </c>
      <c r="D1705" s="14">
        <v>2384.7527</v>
      </c>
    </row>
    <row r="1706" spans="1:4" s="1" customFormat="1" ht="19.75" customHeight="1" x14ac:dyDescent="0.25">
      <c r="A1706" s="9">
        <f>2006</f>
        <v>2006</v>
      </c>
      <c r="B1706" s="4" t="s">
        <v>76</v>
      </c>
      <c r="C1706" s="5">
        <v>4396.7194</v>
      </c>
      <c r="D1706" s="13">
        <v>2115.1376</v>
      </c>
    </row>
    <row r="1707" spans="1:4" s="1" customFormat="1" ht="19.75" customHeight="1" x14ac:dyDescent="0.25">
      <c r="A1707" s="9">
        <f>2006</f>
        <v>2006</v>
      </c>
      <c r="B1707" s="4" t="s">
        <v>75</v>
      </c>
      <c r="C1707" s="2">
        <v>1502.8933999999999</v>
      </c>
      <c r="D1707" s="14">
        <v>658.72310000000004</v>
      </c>
    </row>
    <row r="1708" spans="1:4" s="1" customFormat="1" ht="19.75" customHeight="1" x14ac:dyDescent="0.25">
      <c r="A1708" s="9">
        <f>2006</f>
        <v>2006</v>
      </c>
      <c r="B1708" s="4" t="s">
        <v>74</v>
      </c>
      <c r="C1708" s="5">
        <v>5130.0069000000003</v>
      </c>
      <c r="D1708" s="13">
        <v>2347.1354000000001</v>
      </c>
    </row>
    <row r="1709" spans="1:4" s="1" customFormat="1" ht="19.75" customHeight="1" x14ac:dyDescent="0.25">
      <c r="A1709" s="9">
        <f>2006</f>
        <v>2006</v>
      </c>
      <c r="B1709" s="4" t="s">
        <v>73</v>
      </c>
      <c r="C1709" s="2">
        <v>3005.5147999999999</v>
      </c>
      <c r="D1709" s="14">
        <v>1716.2212</v>
      </c>
    </row>
    <row r="1710" spans="1:4" s="1" customFormat="1" ht="19.75" customHeight="1" x14ac:dyDescent="0.25">
      <c r="A1710" s="9">
        <f>2006</f>
        <v>2006</v>
      </c>
      <c r="B1710" s="4" t="s">
        <v>72</v>
      </c>
      <c r="C1710" s="5">
        <v>1399.6588999999999</v>
      </c>
      <c r="D1710" s="13">
        <v>746.75519999999995</v>
      </c>
    </row>
    <row r="1711" spans="1:4" s="1" customFormat="1" ht="19.75" customHeight="1" x14ac:dyDescent="0.25">
      <c r="A1711" s="9">
        <f>2006</f>
        <v>2006</v>
      </c>
      <c r="B1711" s="4" t="s">
        <v>71</v>
      </c>
      <c r="C1711" s="2">
        <v>1037.4558999999999</v>
      </c>
      <c r="D1711" s="14">
        <v>561.34230000000002</v>
      </c>
    </row>
    <row r="1712" spans="1:4" s="1" customFormat="1" ht="19.75" customHeight="1" x14ac:dyDescent="0.25">
      <c r="A1712" s="9">
        <f>2006</f>
        <v>2006</v>
      </c>
      <c r="B1712" s="4" t="s">
        <v>70</v>
      </c>
      <c r="C1712" s="5">
        <v>5000.8247000000001</v>
      </c>
      <c r="D1712" s="13">
        <v>859.48220000000003</v>
      </c>
    </row>
    <row r="1713" spans="1:4" s="1" customFormat="1" ht="19.75" customHeight="1" x14ac:dyDescent="0.25">
      <c r="A1713" s="9">
        <f>2006</f>
        <v>2006</v>
      </c>
      <c r="B1713" s="4" t="s">
        <v>69</v>
      </c>
      <c r="C1713" s="2">
        <v>1854.3382999999999</v>
      </c>
      <c r="D1713" s="14">
        <v>1079.761</v>
      </c>
    </row>
    <row r="1714" spans="1:4" s="1" customFormat="1" ht="19.75" customHeight="1" x14ac:dyDescent="0.25">
      <c r="A1714" s="9">
        <f>2006</f>
        <v>2006</v>
      </c>
      <c r="B1714" s="4" t="s">
        <v>68</v>
      </c>
      <c r="C1714" s="5">
        <v>2339.0981000000002</v>
      </c>
      <c r="D1714" s="13">
        <v>1261.5713000000001</v>
      </c>
    </row>
    <row r="1715" spans="1:4" s="1" customFormat="1" ht="19.75" customHeight="1" x14ac:dyDescent="0.25">
      <c r="A1715" s="9">
        <f>2006</f>
        <v>2006</v>
      </c>
      <c r="B1715" s="4" t="s">
        <v>67</v>
      </c>
      <c r="C1715" s="2">
        <v>2513.8533000000002</v>
      </c>
      <c r="D1715" s="14">
        <v>965.85900000000004</v>
      </c>
    </row>
    <row r="1716" spans="1:4" s="1" customFormat="1" ht="19.75" customHeight="1" x14ac:dyDescent="0.25">
      <c r="A1716" s="9">
        <f>2006</f>
        <v>2006</v>
      </c>
      <c r="B1716" s="4" t="s">
        <v>66</v>
      </c>
      <c r="C1716" s="5">
        <v>668.98810000000003</v>
      </c>
      <c r="D1716" s="13">
        <v>482.98869999999999</v>
      </c>
    </row>
    <row r="1717" spans="1:4" s="1" customFormat="1" ht="19.75" customHeight="1" x14ac:dyDescent="0.25">
      <c r="A1717" s="9">
        <f>2006</f>
        <v>2006</v>
      </c>
      <c r="B1717" s="4" t="s">
        <v>65</v>
      </c>
      <c r="C1717" s="2">
        <v>4917.3859000000002</v>
      </c>
      <c r="D1717" s="14">
        <v>3023.1525999999999</v>
      </c>
    </row>
    <row r="1718" spans="1:4" s="1" customFormat="1" ht="19.75" customHeight="1" x14ac:dyDescent="0.25">
      <c r="A1718" s="9">
        <f>2006</f>
        <v>2006</v>
      </c>
      <c r="B1718" s="4" t="s">
        <v>64</v>
      </c>
      <c r="C1718" s="5">
        <v>2169.5486999999998</v>
      </c>
      <c r="D1718" s="13">
        <v>1434.8136999999999</v>
      </c>
    </row>
    <row r="1719" spans="1:4" s="1" customFormat="1" ht="19.75" customHeight="1" x14ac:dyDescent="0.25">
      <c r="A1719" s="9">
        <f>2006</f>
        <v>2006</v>
      </c>
      <c r="B1719" s="4" t="s">
        <v>63</v>
      </c>
      <c r="C1719" s="2">
        <v>2788.8364999999999</v>
      </c>
      <c r="D1719" s="14">
        <v>1177.3716999999999</v>
      </c>
    </row>
    <row r="1720" spans="1:4" s="1" customFormat="1" ht="19.75" customHeight="1" x14ac:dyDescent="0.25">
      <c r="A1720" s="9">
        <f>2006</f>
        <v>2006</v>
      </c>
      <c r="B1720" s="4" t="s">
        <v>62</v>
      </c>
      <c r="C1720" s="5">
        <v>3489.4222</v>
      </c>
      <c r="D1720" s="13">
        <v>1402.4239</v>
      </c>
    </row>
    <row r="1721" spans="1:4" s="1" customFormat="1" ht="19.75" customHeight="1" x14ac:dyDescent="0.25">
      <c r="A1721" s="9">
        <f>2006</f>
        <v>2006</v>
      </c>
      <c r="B1721" s="4" t="s">
        <v>61</v>
      </c>
      <c r="C1721" s="2">
        <v>1339.5132000000001</v>
      </c>
      <c r="D1721" s="14">
        <v>813.62419999999997</v>
      </c>
    </row>
    <row r="1722" spans="1:4" s="1" customFormat="1" ht="19.75" customHeight="1" x14ac:dyDescent="0.25">
      <c r="A1722" s="9">
        <f>2006</f>
        <v>2006</v>
      </c>
      <c r="B1722" s="4" t="s">
        <v>60</v>
      </c>
      <c r="C1722" s="5">
        <v>1339.0242000000001</v>
      </c>
      <c r="D1722" s="13">
        <v>623.54369999999994</v>
      </c>
    </row>
    <row r="1723" spans="1:4" s="1" customFormat="1" ht="19.75" customHeight="1" x14ac:dyDescent="0.25">
      <c r="A1723" s="9">
        <f>2006</f>
        <v>2006</v>
      </c>
      <c r="B1723" s="4" t="s">
        <v>59</v>
      </c>
      <c r="C1723" s="2">
        <v>1810.556</v>
      </c>
      <c r="D1723" s="14">
        <v>814.05070000000001</v>
      </c>
    </row>
    <row r="1724" spans="1:4" s="1" customFormat="1" ht="19.75" customHeight="1" x14ac:dyDescent="0.25">
      <c r="A1724" s="9">
        <f>2006</f>
        <v>2006</v>
      </c>
      <c r="B1724" s="4" t="s">
        <v>57</v>
      </c>
      <c r="C1724" s="5">
        <v>317.0564</v>
      </c>
      <c r="D1724" s="13">
        <v>255.0668</v>
      </c>
    </row>
    <row r="1725" spans="1:4" s="1" customFormat="1" ht="19.75" customHeight="1" x14ac:dyDescent="0.25">
      <c r="A1725" s="9">
        <f>2006</f>
        <v>2006</v>
      </c>
      <c r="B1725" s="4" t="s">
        <v>56</v>
      </c>
      <c r="C1725" s="2">
        <v>145.5342</v>
      </c>
      <c r="D1725" s="14">
        <v>86.734399999999994</v>
      </c>
    </row>
    <row r="1726" spans="1:4" s="1" customFormat="1" ht="19.75" customHeight="1" x14ac:dyDescent="0.25">
      <c r="A1726" s="9">
        <f>2006</f>
        <v>2006</v>
      </c>
      <c r="B1726" s="4" t="s">
        <v>55</v>
      </c>
      <c r="C1726" s="5">
        <v>404.44</v>
      </c>
      <c r="D1726" s="13">
        <v>502.81</v>
      </c>
    </row>
    <row r="1727" spans="1:4" s="1" customFormat="1" ht="19.75" customHeight="1" x14ac:dyDescent="0.25">
      <c r="A1727" s="9">
        <f>2006</f>
        <v>2006</v>
      </c>
      <c r="B1727" s="4" t="s">
        <v>54</v>
      </c>
      <c r="C1727" s="2">
        <v>186.60730000000001</v>
      </c>
      <c r="D1727" s="14">
        <v>70.1648</v>
      </c>
    </row>
    <row r="1728" spans="1:4" s="1" customFormat="1" ht="19.75" customHeight="1" x14ac:dyDescent="0.25">
      <c r="A1728" s="9">
        <f>2006</f>
        <v>2006</v>
      </c>
      <c r="B1728" s="4" t="s">
        <v>53</v>
      </c>
      <c r="C1728" s="5">
        <v>218.34520000000001</v>
      </c>
      <c r="D1728" s="13">
        <v>150.1987</v>
      </c>
    </row>
    <row r="1729" spans="1:4" s="1" customFormat="1" ht="19.75" customHeight="1" x14ac:dyDescent="0.25">
      <c r="A1729" s="9">
        <f>2006</f>
        <v>2006</v>
      </c>
      <c r="B1729" s="4" t="s">
        <v>52</v>
      </c>
      <c r="C1729" s="2">
        <v>201.95310000000001</v>
      </c>
      <c r="D1729" s="14">
        <v>150.0856</v>
      </c>
    </row>
    <row r="1730" spans="1:4" s="1" customFormat="1" ht="19.75" customHeight="1" x14ac:dyDescent="0.25">
      <c r="A1730" s="9">
        <f>2006</f>
        <v>2006</v>
      </c>
      <c r="B1730" s="4" t="s">
        <v>51</v>
      </c>
      <c r="C1730" s="5">
        <v>126.88890000000001</v>
      </c>
      <c r="D1730" s="13">
        <v>81.805400000000006</v>
      </c>
    </row>
    <row r="1731" spans="1:4" s="1" customFormat="1" ht="19.75" customHeight="1" x14ac:dyDescent="0.25">
      <c r="A1731" s="9">
        <f>2006</f>
        <v>2006</v>
      </c>
      <c r="B1731" s="4" t="s">
        <v>50</v>
      </c>
      <c r="C1731" s="2">
        <v>836.72879999999998</v>
      </c>
      <c r="D1731" s="14">
        <v>364.5693</v>
      </c>
    </row>
    <row r="1732" spans="1:4" s="1" customFormat="1" ht="19.75" customHeight="1" x14ac:dyDescent="0.25">
      <c r="A1732" s="9">
        <f>2006</f>
        <v>2006</v>
      </c>
      <c r="B1732" s="4" t="s">
        <v>49</v>
      </c>
      <c r="C1732" s="5">
        <v>10.3001</v>
      </c>
      <c r="D1732" s="13">
        <v>4.1341000000000001</v>
      </c>
    </row>
    <row r="1733" spans="1:4" s="1" customFormat="1" ht="19.75" customHeight="1" x14ac:dyDescent="0.25">
      <c r="A1733" s="9">
        <f>2006</f>
        <v>2006</v>
      </c>
      <c r="B1733" s="4" t="s">
        <v>48</v>
      </c>
      <c r="C1733" s="2">
        <v>1929.5</v>
      </c>
      <c r="D1733" s="14">
        <v>1691.09</v>
      </c>
    </row>
    <row r="1734" spans="1:4" s="1" customFormat="1" ht="19.75" customHeight="1" x14ac:dyDescent="0.25">
      <c r="A1734" s="9">
        <f>2006</f>
        <v>2006</v>
      </c>
      <c r="B1734" s="4" t="s">
        <v>47</v>
      </c>
      <c r="C1734" s="5">
        <v>9597.4483</v>
      </c>
      <c r="D1734" s="13">
        <v>5001.1536999999998</v>
      </c>
    </row>
    <row r="1735" spans="1:4" s="1" customFormat="1" ht="19.75" customHeight="1" x14ac:dyDescent="0.25">
      <c r="A1735" s="9">
        <f>2006</f>
        <v>2006</v>
      </c>
      <c r="B1735" s="4" t="s">
        <v>46</v>
      </c>
      <c r="C1735" s="2">
        <v>873.19129999999996</v>
      </c>
      <c r="D1735" s="14">
        <v>316.62619999999998</v>
      </c>
    </row>
    <row r="1736" spans="1:4" s="1" customFormat="1" ht="19.75" customHeight="1" x14ac:dyDescent="0.25">
      <c r="A1736" s="9">
        <f>2006</f>
        <v>2006</v>
      </c>
      <c r="B1736" s="4" t="s">
        <v>45</v>
      </c>
      <c r="C1736" s="5">
        <v>741.24770000000001</v>
      </c>
      <c r="D1736" s="13">
        <v>518.79049999999995</v>
      </c>
    </row>
    <row r="1737" spans="1:4" s="1" customFormat="1" ht="19.75" customHeight="1" x14ac:dyDescent="0.25">
      <c r="A1737" s="9">
        <f>2006</f>
        <v>2006</v>
      </c>
      <c r="B1737" s="4" t="s">
        <v>44</v>
      </c>
      <c r="C1737" s="2">
        <v>1042.5271</v>
      </c>
      <c r="D1737" s="14">
        <v>345.25439999999998</v>
      </c>
    </row>
    <row r="1738" spans="1:4" s="1" customFormat="1" ht="19.75" customHeight="1" x14ac:dyDescent="0.25">
      <c r="A1738" s="9">
        <f>2006</f>
        <v>2006</v>
      </c>
      <c r="B1738" s="4" t="s">
        <v>43</v>
      </c>
      <c r="C1738" s="5">
        <v>652.06629999999996</v>
      </c>
      <c r="D1738" s="13">
        <v>204.4811</v>
      </c>
    </row>
    <row r="1739" spans="1:4" s="1" customFormat="1" ht="19.75" customHeight="1" x14ac:dyDescent="0.25">
      <c r="A1739" s="9">
        <f>2006</f>
        <v>2006</v>
      </c>
      <c r="B1739" s="4" t="s">
        <v>42</v>
      </c>
      <c r="C1739" s="2">
        <v>367.95530000000002</v>
      </c>
      <c r="D1739" s="14">
        <v>174.85249999999999</v>
      </c>
    </row>
    <row r="1740" spans="1:4" s="1" customFormat="1" ht="19.75" customHeight="1" x14ac:dyDescent="0.25">
      <c r="A1740" s="9">
        <f>2006</f>
        <v>2006</v>
      </c>
      <c r="B1740" s="4" t="s">
        <v>41</v>
      </c>
      <c r="C1740" s="5">
        <v>338.92189999999999</v>
      </c>
      <c r="D1740" s="13">
        <v>387.46910000000003</v>
      </c>
    </row>
    <row r="1741" spans="1:4" s="1" customFormat="1" ht="19.75" customHeight="1" x14ac:dyDescent="0.25">
      <c r="A1741" s="9">
        <f>2006</f>
        <v>2006</v>
      </c>
      <c r="B1741" s="4" t="s">
        <v>40</v>
      </c>
      <c r="C1741" s="2">
        <v>216.56399999999999</v>
      </c>
      <c r="D1741" s="14">
        <v>100.51949999999999</v>
      </c>
    </row>
    <row r="1742" spans="1:4" s="1" customFormat="1" ht="19.75" customHeight="1" x14ac:dyDescent="0.25">
      <c r="A1742" s="9">
        <f>2006</f>
        <v>2006</v>
      </c>
      <c r="B1742" s="4" t="s">
        <v>39</v>
      </c>
      <c r="C1742" s="5">
        <v>129.63460000000001</v>
      </c>
      <c r="D1742" s="13">
        <v>69.157399999999996</v>
      </c>
    </row>
    <row r="1743" spans="1:4" s="1" customFormat="1" ht="19.75" customHeight="1" x14ac:dyDescent="0.25">
      <c r="A1743" s="9">
        <f>2006</f>
        <v>2006</v>
      </c>
      <c r="B1743" s="4" t="s">
        <v>38</v>
      </c>
      <c r="C1743" s="2">
        <v>40.273000000000003</v>
      </c>
      <c r="D1743" s="14">
        <v>36.662399999999998</v>
      </c>
    </row>
    <row r="1744" spans="1:4" s="1" customFormat="1" ht="19.75" customHeight="1" x14ac:dyDescent="0.25">
      <c r="A1744" s="9">
        <f>2006</f>
        <v>2006</v>
      </c>
      <c r="B1744" s="4" t="s">
        <v>37</v>
      </c>
      <c r="C1744" s="5">
        <v>40.215299999999999</v>
      </c>
      <c r="D1744" s="13">
        <v>23.408300000000001</v>
      </c>
    </row>
    <row r="1745" spans="1:4" s="1" customFormat="1" ht="19.75" customHeight="1" x14ac:dyDescent="0.25">
      <c r="A1745" s="9">
        <f>2006</f>
        <v>2006</v>
      </c>
      <c r="B1745" s="4" t="s">
        <v>36</v>
      </c>
      <c r="C1745" s="2">
        <v>81.034999999999997</v>
      </c>
      <c r="D1745" s="14">
        <v>59.215699999999998</v>
      </c>
    </row>
    <row r="1746" spans="1:4" s="1" customFormat="1" ht="19.75" customHeight="1" x14ac:dyDescent="0.25">
      <c r="A1746" s="9">
        <f>2006</f>
        <v>2006</v>
      </c>
      <c r="B1746" s="4" t="s">
        <v>35</v>
      </c>
      <c r="C1746" s="5">
        <v>18.982800000000001</v>
      </c>
      <c r="D1746" s="13">
        <v>7.6596000000000002</v>
      </c>
    </row>
    <row r="1747" spans="1:4" s="1" customFormat="1" ht="19.75" customHeight="1" x14ac:dyDescent="0.25">
      <c r="A1747" s="9">
        <f>2006</f>
        <v>2006</v>
      </c>
      <c r="B1747" s="4" t="s">
        <v>34</v>
      </c>
      <c r="C1747" s="2">
        <v>451.13909999999998</v>
      </c>
      <c r="D1747" s="14">
        <v>226.06360000000001</v>
      </c>
    </row>
    <row r="1748" spans="1:4" s="1" customFormat="1" ht="19.75" customHeight="1" x14ac:dyDescent="0.25">
      <c r="A1748" s="9">
        <f>2006</f>
        <v>2006</v>
      </c>
      <c r="B1748" s="4" t="s">
        <v>33</v>
      </c>
      <c r="C1748" s="5">
        <v>302.32850000000002</v>
      </c>
      <c r="D1748" s="13">
        <v>129.69970000000001</v>
      </c>
    </row>
    <row r="1749" spans="1:4" s="1" customFormat="1" ht="19.75" customHeight="1" x14ac:dyDescent="0.25">
      <c r="A1749" s="9">
        <f>2006</f>
        <v>2006</v>
      </c>
      <c r="B1749" s="4" t="s">
        <v>32</v>
      </c>
      <c r="C1749" s="2">
        <v>321.30020000000002</v>
      </c>
      <c r="D1749" s="14">
        <v>180.5316</v>
      </c>
    </row>
    <row r="1750" spans="1:4" s="1" customFormat="1" ht="19.75" customHeight="1" x14ac:dyDescent="0.25">
      <c r="A1750" s="9">
        <f>2006</f>
        <v>2006</v>
      </c>
      <c r="B1750" s="4" t="s">
        <v>31</v>
      </c>
      <c r="C1750" s="5">
        <v>104.7152</v>
      </c>
      <c r="D1750" s="13">
        <v>86.120500000000007</v>
      </c>
    </row>
    <row r="1751" spans="1:4" s="1" customFormat="1" ht="19.75" customHeight="1" x14ac:dyDescent="0.25">
      <c r="A1751" s="9">
        <f>2006</f>
        <v>2006</v>
      </c>
      <c r="B1751" s="4" t="s">
        <v>30</v>
      </c>
      <c r="C1751" s="2">
        <v>0.37869999999999998</v>
      </c>
      <c r="D1751" s="14">
        <v>2.2875000000000001</v>
      </c>
    </row>
    <row r="1752" spans="1:4" s="1" customFormat="1" ht="19.75" customHeight="1" x14ac:dyDescent="0.25">
      <c r="A1752" s="9">
        <f>2006</f>
        <v>2006</v>
      </c>
      <c r="B1752" s="4" t="s">
        <v>29</v>
      </c>
      <c r="C1752" s="5">
        <v>101.0732</v>
      </c>
      <c r="D1752" s="13">
        <v>13.9975</v>
      </c>
    </row>
    <row r="1753" spans="1:4" s="1" customFormat="1" ht="19.75" customHeight="1" x14ac:dyDescent="0.25">
      <c r="A1753" s="9">
        <f>2006</f>
        <v>2006</v>
      </c>
      <c r="B1753" s="4" t="s">
        <v>28</v>
      </c>
      <c r="C1753" s="2">
        <v>154.45609999999999</v>
      </c>
      <c r="D1753" s="14">
        <v>301.02879999999999</v>
      </c>
    </row>
    <row r="1754" spans="1:4" s="1" customFormat="1" ht="19.75" customHeight="1" x14ac:dyDescent="0.25">
      <c r="A1754" s="9">
        <f>2006</f>
        <v>2006</v>
      </c>
      <c r="B1754" s="4" t="s">
        <v>27</v>
      </c>
      <c r="C1754" s="5">
        <v>147.01339999999999</v>
      </c>
      <c r="D1754" s="13">
        <v>112.6671</v>
      </c>
    </row>
    <row r="1755" spans="1:4" s="1" customFormat="1" ht="19.75" customHeight="1" x14ac:dyDescent="0.25">
      <c r="A1755" s="9">
        <f>2006</f>
        <v>2006</v>
      </c>
      <c r="B1755" s="4" t="s">
        <v>26</v>
      </c>
      <c r="C1755" s="2">
        <v>19.935099999999998</v>
      </c>
      <c r="D1755" s="14">
        <v>11.606299999999999</v>
      </c>
    </row>
    <row r="1756" spans="1:4" s="1" customFormat="1" ht="19.75" customHeight="1" x14ac:dyDescent="0.25">
      <c r="A1756" s="9">
        <f>2006</f>
        <v>2006</v>
      </c>
      <c r="B1756" s="4" t="s">
        <v>25</v>
      </c>
      <c r="C1756" s="5">
        <v>4.1085000000000003</v>
      </c>
      <c r="D1756" s="13">
        <v>2.5373999999999999</v>
      </c>
    </row>
    <row r="1757" spans="1:4" s="1" customFormat="1" ht="19.75" customHeight="1" x14ac:dyDescent="0.25">
      <c r="A1757" s="9">
        <f>2006</f>
        <v>2006</v>
      </c>
      <c r="B1757" s="4" t="s">
        <v>24</v>
      </c>
      <c r="C1757" s="2">
        <v>129.6771</v>
      </c>
      <c r="D1757" s="14">
        <v>33.843800000000002</v>
      </c>
    </row>
    <row r="1758" spans="1:4" s="1" customFormat="1" ht="19.75" customHeight="1" x14ac:dyDescent="0.25">
      <c r="A1758" s="9">
        <f>2006</f>
        <v>2006</v>
      </c>
      <c r="B1758" s="4" t="s">
        <v>23</v>
      </c>
      <c r="C1758" s="5">
        <v>28.163499999999999</v>
      </c>
      <c r="D1758" s="13">
        <v>51.814399999999999</v>
      </c>
    </row>
    <row r="1759" spans="1:4" s="1" customFormat="1" ht="19.75" customHeight="1" x14ac:dyDescent="0.25">
      <c r="A1759" s="9">
        <f>2006</f>
        <v>2006</v>
      </c>
      <c r="B1759" s="4" t="s">
        <v>22</v>
      </c>
      <c r="C1759" s="2">
        <v>113.1353</v>
      </c>
      <c r="D1759" s="14">
        <v>104.1961</v>
      </c>
    </row>
    <row r="1760" spans="1:4" s="1" customFormat="1" ht="19.75" customHeight="1" x14ac:dyDescent="0.25">
      <c r="A1760" s="9">
        <f>2006</f>
        <v>2006</v>
      </c>
      <c r="B1760" s="4" t="s">
        <v>21</v>
      </c>
      <c r="C1760" s="5">
        <v>1005.7091</v>
      </c>
      <c r="D1760" s="13">
        <v>1524.6423</v>
      </c>
    </row>
    <row r="1761" spans="1:4" s="1" customFormat="1" ht="19.75" customHeight="1" x14ac:dyDescent="0.25">
      <c r="A1761" s="9">
        <f>2006</f>
        <v>2006</v>
      </c>
      <c r="B1761" s="4" t="s">
        <v>20</v>
      </c>
      <c r="C1761" s="2">
        <v>104.5964</v>
      </c>
      <c r="D1761" s="14">
        <v>52.751399999999997</v>
      </c>
    </row>
    <row r="1762" spans="1:4" s="1" customFormat="1" ht="19.75" customHeight="1" x14ac:dyDescent="0.25">
      <c r="A1762" s="9">
        <f>2006</f>
        <v>2006</v>
      </c>
      <c r="B1762" s="4" t="s">
        <v>19</v>
      </c>
      <c r="C1762" s="5">
        <v>2.8534999999999999</v>
      </c>
      <c r="D1762" s="13">
        <v>3.7309999999999999</v>
      </c>
    </row>
    <row r="1763" spans="1:4" s="1" customFormat="1" ht="19.75" customHeight="1" x14ac:dyDescent="0.25">
      <c r="A1763" s="9">
        <f>2006</f>
        <v>2006</v>
      </c>
      <c r="B1763" s="4" t="s">
        <v>18</v>
      </c>
      <c r="C1763" s="2">
        <v>60.4589</v>
      </c>
      <c r="D1763" s="14">
        <v>39.032800000000002</v>
      </c>
    </row>
    <row r="1764" spans="1:4" s="1" customFormat="1" ht="19.75" customHeight="1" x14ac:dyDescent="0.25">
      <c r="A1764" s="9">
        <f>2006</f>
        <v>2006</v>
      </c>
      <c r="B1764" s="4" t="s">
        <v>17</v>
      </c>
      <c r="C1764" s="5">
        <v>368.29500000000002</v>
      </c>
      <c r="D1764" s="13">
        <v>466.13170000000002</v>
      </c>
    </row>
    <row r="1765" spans="1:4" s="1" customFormat="1" ht="19.75" customHeight="1" x14ac:dyDescent="0.25">
      <c r="A1765" s="9">
        <f>2006</f>
        <v>2006</v>
      </c>
      <c r="B1765" s="4" t="s">
        <v>16</v>
      </c>
      <c r="C1765" s="2">
        <v>827.87660000000005</v>
      </c>
      <c r="D1765" s="14">
        <v>1025.2412999999999</v>
      </c>
    </row>
    <row r="1766" spans="1:4" s="1" customFormat="1" ht="19.75" customHeight="1" x14ac:dyDescent="0.25">
      <c r="A1766" s="9">
        <f>2006</f>
        <v>2006</v>
      </c>
      <c r="B1766" s="4" t="s">
        <v>15</v>
      </c>
      <c r="C1766" s="5">
        <v>13.7867</v>
      </c>
      <c r="D1766" s="13">
        <v>5.5557999999999996</v>
      </c>
    </row>
    <row r="1767" spans="1:4" s="1" customFormat="1" ht="19.75" customHeight="1" x14ac:dyDescent="0.25">
      <c r="A1767" s="9">
        <f>2006</f>
        <v>2006</v>
      </c>
      <c r="B1767" s="4" t="s">
        <v>13</v>
      </c>
      <c r="C1767" s="2">
        <v>51.5672</v>
      </c>
      <c r="D1767" s="14">
        <v>42.491100000000003</v>
      </c>
    </row>
    <row r="1768" spans="1:4" s="1" customFormat="1" ht="19.75" customHeight="1" x14ac:dyDescent="0.25">
      <c r="A1768" s="9">
        <f>2006</f>
        <v>2006</v>
      </c>
      <c r="B1768" s="4" t="s">
        <v>12</v>
      </c>
      <c r="C1768" s="5">
        <v>21.4742</v>
      </c>
      <c r="D1768" s="13">
        <v>7.2511999999999999</v>
      </c>
    </row>
    <row r="1769" spans="1:4" s="1" customFormat="1" ht="19.75" customHeight="1" x14ac:dyDescent="0.25">
      <c r="A1769" s="9">
        <f>2006</f>
        <v>2006</v>
      </c>
      <c r="B1769" s="4" t="s">
        <v>11</v>
      </c>
      <c r="C1769" s="2">
        <v>0.66849999999999998</v>
      </c>
      <c r="D1769" s="14">
        <v>3.2505000000000002</v>
      </c>
    </row>
    <row r="1770" spans="1:4" s="1" customFormat="1" ht="19.75" customHeight="1" x14ac:dyDescent="0.25">
      <c r="A1770" s="9">
        <f>2006</f>
        <v>2006</v>
      </c>
      <c r="B1770" s="4" t="s">
        <v>10</v>
      </c>
      <c r="C1770" s="5">
        <v>18.498799999999999</v>
      </c>
      <c r="D1770" s="13">
        <v>4.0244999999999997</v>
      </c>
    </row>
    <row r="1771" spans="1:4" s="1" customFormat="1" ht="19.75" customHeight="1" x14ac:dyDescent="0.25">
      <c r="A1771" s="9">
        <f>2006</f>
        <v>2006</v>
      </c>
      <c r="B1771" s="4" t="s">
        <v>9</v>
      </c>
      <c r="C1771" s="2">
        <v>11.344799999999999</v>
      </c>
      <c r="D1771" s="14">
        <v>9.0871999999999993</v>
      </c>
    </row>
    <row r="1772" spans="1:4" s="1" customFormat="1" ht="19.75" customHeight="1" x14ac:dyDescent="0.25">
      <c r="A1772" s="9">
        <f>2006</f>
        <v>2006</v>
      </c>
      <c r="B1772" s="4" t="s">
        <v>8</v>
      </c>
      <c r="C1772" s="5">
        <v>29.794699999999999</v>
      </c>
      <c r="D1772" s="13">
        <v>42.200699999999998</v>
      </c>
    </row>
    <row r="1773" spans="1:4" s="1" customFormat="1" ht="19.75" customHeight="1" x14ac:dyDescent="0.25">
      <c r="A1773" s="9">
        <f>2006</f>
        <v>2006</v>
      </c>
      <c r="B1773" s="4" t="s">
        <v>7</v>
      </c>
      <c r="C1773" s="2">
        <v>0.92300000000000004</v>
      </c>
      <c r="D1773" s="14">
        <v>2.6728000000000001</v>
      </c>
    </row>
    <row r="1774" spans="1:4" s="1" customFormat="1" ht="19.75" customHeight="1" x14ac:dyDescent="0.25">
      <c r="A1774" s="9">
        <f>2006</f>
        <v>2006</v>
      </c>
      <c r="B1774" s="4" t="s">
        <v>6</v>
      </c>
      <c r="C1774" s="5">
        <v>24.679500000000001</v>
      </c>
      <c r="D1774" s="13">
        <v>4.8667999999999996</v>
      </c>
    </row>
    <row r="1775" spans="1:4" s="1" customFormat="1" ht="19.75" customHeight="1" x14ac:dyDescent="0.25">
      <c r="A1775" s="9">
        <f>2006</f>
        <v>2006</v>
      </c>
      <c r="B1775" s="4" t="s">
        <v>5</v>
      </c>
      <c r="C1775" s="2">
        <v>7.1398000000000001</v>
      </c>
      <c r="D1775" s="14">
        <v>4.9298000000000002</v>
      </c>
    </row>
    <row r="1776" spans="1:4" s="1" customFormat="1" ht="19.75" customHeight="1" x14ac:dyDescent="0.25">
      <c r="A1776" s="9">
        <f>2006</f>
        <v>2006</v>
      </c>
      <c r="B1776" s="4" t="s">
        <v>4</v>
      </c>
      <c r="C1776" s="5">
        <v>51.774900000000002</v>
      </c>
      <c r="D1776" s="13">
        <v>30.377600000000001</v>
      </c>
    </row>
    <row r="1777" spans="1:4" s="1" customFormat="1" ht="19.75" customHeight="1" x14ac:dyDescent="0.25">
      <c r="A1777" s="9">
        <f>2006</f>
        <v>2006</v>
      </c>
      <c r="B1777" s="4" t="s">
        <v>3</v>
      </c>
      <c r="C1777" s="2">
        <v>0.79259999999999997</v>
      </c>
      <c r="D1777" s="14">
        <v>3.3087</v>
      </c>
    </row>
    <row r="1778" spans="1:4" s="1" customFormat="1" ht="19.75" customHeight="1" x14ac:dyDescent="0.25">
      <c r="A1778" s="9">
        <f>2006</f>
        <v>2006</v>
      </c>
      <c r="B1778" s="4" t="s">
        <v>2</v>
      </c>
      <c r="C1778" s="5">
        <v>1190.1670999999999</v>
      </c>
      <c r="D1778" s="13">
        <v>1201.0998999999999</v>
      </c>
    </row>
    <row r="1779" spans="1:4" s="1" customFormat="1" ht="19.75" customHeight="1" x14ac:dyDescent="0.25">
      <c r="A1779" s="9">
        <f>2006</f>
        <v>2006</v>
      </c>
      <c r="B1779" s="4" t="s">
        <v>1</v>
      </c>
      <c r="C1779" s="2">
        <v>659.15549999999996</v>
      </c>
      <c r="D1779" s="14">
        <v>747.50570000000005</v>
      </c>
    </row>
    <row r="1780" spans="1:4" s="1" customFormat="1" ht="19.75" customHeight="1" x14ac:dyDescent="0.25">
      <c r="A1780" s="9">
        <f>2005</f>
        <v>2005</v>
      </c>
      <c r="B1780" s="4" t="s">
        <v>87</v>
      </c>
      <c r="C1780" s="5">
        <v>871.98320000000001</v>
      </c>
      <c r="D1780" s="13">
        <v>622.3827</v>
      </c>
    </row>
    <row r="1781" spans="1:4" s="1" customFormat="1" ht="19.75" customHeight="1" x14ac:dyDescent="0.25">
      <c r="A1781" s="9">
        <f>2005</f>
        <v>2005</v>
      </c>
      <c r="B1781" s="4" t="s">
        <v>86</v>
      </c>
      <c r="C1781" s="2">
        <v>1362.7158999999999</v>
      </c>
      <c r="D1781" s="14">
        <v>670.79390000000001</v>
      </c>
    </row>
    <row r="1782" spans="1:4" s="1" customFormat="1" ht="19.75" customHeight="1" x14ac:dyDescent="0.25">
      <c r="A1782" s="9">
        <f>2005</f>
        <v>2005</v>
      </c>
      <c r="B1782" s="4" t="s">
        <v>85</v>
      </c>
      <c r="C1782" s="5">
        <v>18483.375499999998</v>
      </c>
      <c r="D1782" s="13">
        <v>10074.172200000001</v>
      </c>
    </row>
    <row r="1783" spans="1:4" s="1" customFormat="1" ht="19.75" customHeight="1" x14ac:dyDescent="0.25">
      <c r="A1783" s="9">
        <f>2005</f>
        <v>2005</v>
      </c>
      <c r="B1783" s="4" t="s">
        <v>84</v>
      </c>
      <c r="C1783" s="2">
        <v>607.63030000000003</v>
      </c>
      <c r="D1783" s="14">
        <v>328.3768</v>
      </c>
    </row>
    <row r="1784" spans="1:4" s="1" customFormat="1" ht="19.75" customHeight="1" x14ac:dyDescent="0.25">
      <c r="A1784" s="9">
        <f>2005</f>
        <v>2005</v>
      </c>
      <c r="B1784" s="4" t="s">
        <v>83</v>
      </c>
      <c r="C1784" s="5">
        <v>623.02800000000002</v>
      </c>
      <c r="D1784" s="13">
        <v>479.09660000000002</v>
      </c>
    </row>
    <row r="1785" spans="1:4" s="1" customFormat="1" ht="19.75" customHeight="1" x14ac:dyDescent="0.25">
      <c r="A1785" s="9">
        <f>2005</f>
        <v>2005</v>
      </c>
      <c r="B1785" s="4" t="s">
        <v>82</v>
      </c>
      <c r="C1785" s="2">
        <v>1156.96</v>
      </c>
      <c r="D1785" s="14">
        <v>479.00080000000003</v>
      </c>
    </row>
    <row r="1786" spans="1:4" s="1" customFormat="1" ht="19.75" customHeight="1" x14ac:dyDescent="0.25">
      <c r="A1786" s="9">
        <f>2005</f>
        <v>2005</v>
      </c>
      <c r="B1786" s="4" t="s">
        <v>81</v>
      </c>
      <c r="C1786" s="5">
        <v>624.21879999999999</v>
      </c>
      <c r="D1786" s="13">
        <v>253.8706</v>
      </c>
    </row>
    <row r="1787" spans="1:4" s="1" customFormat="1" ht="19.75" customHeight="1" x14ac:dyDescent="0.25">
      <c r="A1787" s="9">
        <f>2005</f>
        <v>2005</v>
      </c>
      <c r="B1787" s="4" t="s">
        <v>80</v>
      </c>
      <c r="C1787" s="2">
        <v>1112.1583000000001</v>
      </c>
      <c r="D1787" s="14">
        <v>502.63720000000001</v>
      </c>
    </row>
    <row r="1788" spans="1:4" s="1" customFormat="1" ht="19.75" customHeight="1" x14ac:dyDescent="0.25">
      <c r="A1788" s="9">
        <f>2005</f>
        <v>2005</v>
      </c>
      <c r="B1788" s="4" t="s">
        <v>79</v>
      </c>
      <c r="C1788" s="5">
        <v>1821.5601999999999</v>
      </c>
      <c r="D1788" s="13">
        <v>1070.1319000000001</v>
      </c>
    </row>
    <row r="1789" spans="1:4" s="1" customFormat="1" ht="19.75" customHeight="1" x14ac:dyDescent="0.25">
      <c r="A1789" s="9">
        <f>2005</f>
        <v>2005</v>
      </c>
      <c r="B1789" s="4" t="s">
        <v>78</v>
      </c>
      <c r="C1789" s="2">
        <v>1212.9181000000001</v>
      </c>
      <c r="D1789" s="14">
        <v>829.46280000000002</v>
      </c>
    </row>
    <row r="1790" spans="1:4" s="1" customFormat="1" ht="19.75" customHeight="1" x14ac:dyDescent="0.25">
      <c r="A1790" s="9">
        <f>2005</f>
        <v>2005</v>
      </c>
      <c r="B1790" s="4" t="s">
        <v>77</v>
      </c>
      <c r="C1790" s="5">
        <v>3452.1460000000002</v>
      </c>
      <c r="D1790" s="13">
        <v>1982.1860999999999</v>
      </c>
    </row>
    <row r="1791" spans="1:4" s="1" customFormat="1" ht="19.75" customHeight="1" x14ac:dyDescent="0.25">
      <c r="A1791" s="9">
        <f>2005</f>
        <v>2005</v>
      </c>
      <c r="B1791" s="4" t="s">
        <v>76</v>
      </c>
      <c r="C1791" s="2">
        <v>3794.6397999999999</v>
      </c>
      <c r="D1791" s="14">
        <v>1932.3244999999999</v>
      </c>
    </row>
    <row r="1792" spans="1:4" s="1" customFormat="1" ht="19.75" customHeight="1" x14ac:dyDescent="0.25">
      <c r="A1792" s="9">
        <f>2005</f>
        <v>2005</v>
      </c>
      <c r="B1792" s="4" t="s">
        <v>75</v>
      </c>
      <c r="C1792" s="5">
        <v>1486.0346999999999</v>
      </c>
      <c r="D1792" s="13">
        <v>720.43340000000001</v>
      </c>
    </row>
    <row r="1793" spans="1:4" s="1" customFormat="1" ht="19.75" customHeight="1" x14ac:dyDescent="0.25">
      <c r="A1793" s="9">
        <f>2005</f>
        <v>2005</v>
      </c>
      <c r="B1793" s="4" t="s">
        <v>74</v>
      </c>
      <c r="C1793" s="2">
        <v>4421.4993000000004</v>
      </c>
      <c r="D1793" s="14">
        <v>2108.9715999999999</v>
      </c>
    </row>
    <row r="1794" spans="1:4" s="1" customFormat="1" ht="19.75" customHeight="1" x14ac:dyDescent="0.25">
      <c r="A1794" s="9">
        <f>2005</f>
        <v>2005</v>
      </c>
      <c r="B1794" s="4" t="s">
        <v>73</v>
      </c>
      <c r="C1794" s="5">
        <v>2829.9346999999998</v>
      </c>
      <c r="D1794" s="13">
        <v>1685.9032</v>
      </c>
    </row>
    <row r="1795" spans="1:4" s="1" customFormat="1" ht="19.75" customHeight="1" x14ac:dyDescent="0.25">
      <c r="A1795" s="9">
        <f>2005</f>
        <v>2005</v>
      </c>
      <c r="B1795" s="4" t="s">
        <v>72</v>
      </c>
      <c r="C1795" s="2">
        <v>1120.4160999999999</v>
      </c>
      <c r="D1795" s="14">
        <v>666.96900000000005</v>
      </c>
    </row>
    <row r="1796" spans="1:4" s="1" customFormat="1" ht="19.75" customHeight="1" x14ac:dyDescent="0.25">
      <c r="A1796" s="9">
        <f>2005</f>
        <v>2005</v>
      </c>
      <c r="B1796" s="4" t="s">
        <v>71</v>
      </c>
      <c r="C1796" s="5">
        <v>1038.5785000000001</v>
      </c>
      <c r="D1796" s="13">
        <v>615.60080000000005</v>
      </c>
    </row>
    <row r="1797" spans="1:4" s="1" customFormat="1" ht="19.75" customHeight="1" x14ac:dyDescent="0.25">
      <c r="A1797" s="9">
        <f>2005</f>
        <v>2005</v>
      </c>
      <c r="B1797" s="4" t="s">
        <v>70</v>
      </c>
      <c r="C1797" s="2">
        <v>2467.8714</v>
      </c>
      <c r="D1797" s="14">
        <v>453.9624</v>
      </c>
    </row>
    <row r="1798" spans="1:4" s="1" customFormat="1" ht="19.75" customHeight="1" x14ac:dyDescent="0.25">
      <c r="A1798" s="9">
        <f>2005</f>
        <v>2005</v>
      </c>
      <c r="B1798" s="4" t="s">
        <v>69</v>
      </c>
      <c r="C1798" s="5">
        <v>1567.0035</v>
      </c>
      <c r="D1798" s="13">
        <v>914.40210000000002</v>
      </c>
    </row>
    <row r="1799" spans="1:4" s="1" customFormat="1" ht="19.75" customHeight="1" x14ac:dyDescent="0.25">
      <c r="A1799" s="9">
        <f>2005</f>
        <v>2005</v>
      </c>
      <c r="B1799" s="4" t="s">
        <v>68</v>
      </c>
      <c r="C1799" s="2">
        <v>2095.5263</v>
      </c>
      <c r="D1799" s="14">
        <v>1158.5260000000001</v>
      </c>
    </row>
    <row r="1800" spans="1:4" s="1" customFormat="1" ht="19.75" customHeight="1" x14ac:dyDescent="0.25">
      <c r="A1800" s="9">
        <f>2005</f>
        <v>2005</v>
      </c>
      <c r="B1800" s="4" t="s">
        <v>67</v>
      </c>
      <c r="C1800" s="5">
        <v>2048.2168000000001</v>
      </c>
      <c r="D1800" s="13">
        <v>795.73239999999998</v>
      </c>
    </row>
    <row r="1801" spans="1:4" s="1" customFormat="1" ht="19.75" customHeight="1" x14ac:dyDescent="0.25">
      <c r="A1801" s="9">
        <f>2005</f>
        <v>2005</v>
      </c>
      <c r="B1801" s="4" t="s">
        <v>66</v>
      </c>
      <c r="C1801" s="2">
        <v>675.899</v>
      </c>
      <c r="D1801" s="14">
        <v>570.95709999999997</v>
      </c>
    </row>
    <row r="1802" spans="1:4" s="1" customFormat="1" ht="19.75" customHeight="1" x14ac:dyDescent="0.25">
      <c r="A1802" s="9">
        <f>2005</f>
        <v>2005</v>
      </c>
      <c r="B1802" s="4" t="s">
        <v>65</v>
      </c>
      <c r="C1802" s="5">
        <v>4453.1094000000003</v>
      </c>
      <c r="D1802" s="13">
        <v>3277.9634999999998</v>
      </c>
    </row>
    <row r="1803" spans="1:4" s="1" customFormat="1" ht="19.75" customHeight="1" x14ac:dyDescent="0.25">
      <c r="A1803" s="9">
        <f>2005</f>
        <v>2005</v>
      </c>
      <c r="B1803" s="4" t="s">
        <v>64</v>
      </c>
      <c r="C1803" s="2">
        <v>2063.7959000000001</v>
      </c>
      <c r="D1803" s="14">
        <v>1264.2034000000001</v>
      </c>
    </row>
    <row r="1804" spans="1:4" s="1" customFormat="1" ht="19.75" customHeight="1" x14ac:dyDescent="0.25">
      <c r="A1804" s="9">
        <f>2005</f>
        <v>2005</v>
      </c>
      <c r="B1804" s="4" t="s">
        <v>63</v>
      </c>
      <c r="C1804" s="5">
        <v>2140.4908</v>
      </c>
      <c r="D1804" s="13">
        <v>1085.3073999999999</v>
      </c>
    </row>
    <row r="1805" spans="1:4" s="1" customFormat="1" ht="19.75" customHeight="1" x14ac:dyDescent="0.25">
      <c r="A1805" s="9">
        <f>2005</f>
        <v>2005</v>
      </c>
      <c r="B1805" s="4" t="s">
        <v>62</v>
      </c>
      <c r="C1805" s="2">
        <v>2905.2366000000002</v>
      </c>
      <c r="D1805" s="14">
        <v>1257.4881</v>
      </c>
    </row>
    <row r="1806" spans="1:4" s="1" customFormat="1" ht="19.75" customHeight="1" x14ac:dyDescent="0.25">
      <c r="A1806" s="9">
        <f>2005</f>
        <v>2005</v>
      </c>
      <c r="B1806" s="4" t="s">
        <v>61</v>
      </c>
      <c r="C1806" s="5">
        <v>1217.7317</v>
      </c>
      <c r="D1806" s="13">
        <v>704.19839999999999</v>
      </c>
    </row>
    <row r="1807" spans="1:4" s="1" customFormat="1" ht="19.75" customHeight="1" x14ac:dyDescent="0.25">
      <c r="A1807" s="9">
        <f>2005</f>
        <v>2005</v>
      </c>
      <c r="B1807" s="4" t="s">
        <v>60</v>
      </c>
      <c r="C1807" s="2">
        <v>1109.7757999999999</v>
      </c>
      <c r="D1807" s="14">
        <v>538.40639999999996</v>
      </c>
    </row>
    <row r="1808" spans="1:4" s="1" customFormat="1" ht="19.75" customHeight="1" x14ac:dyDescent="0.25">
      <c r="A1808" s="9">
        <f>2005</f>
        <v>2005</v>
      </c>
      <c r="B1808" s="4" t="s">
        <v>59</v>
      </c>
      <c r="C1808" s="5">
        <v>1192.9808</v>
      </c>
      <c r="D1808" s="13">
        <v>581.37890000000004</v>
      </c>
    </row>
    <row r="1809" spans="1:4" s="1" customFormat="1" ht="19.75" customHeight="1" x14ac:dyDescent="0.25">
      <c r="A1809" s="9">
        <f>2005</f>
        <v>2005</v>
      </c>
      <c r="B1809" s="4" t="s">
        <v>58</v>
      </c>
      <c r="C1809" s="2">
        <v>193.6765</v>
      </c>
      <c r="D1809" s="14">
        <v>184.50120000000001</v>
      </c>
    </row>
    <row r="1810" spans="1:4" s="1" customFormat="1" ht="19.75" customHeight="1" x14ac:dyDescent="0.25">
      <c r="A1810" s="9">
        <f>2005</f>
        <v>2005</v>
      </c>
      <c r="B1810" s="4" t="s">
        <v>57</v>
      </c>
      <c r="C1810" s="5">
        <v>308.9144</v>
      </c>
      <c r="D1810" s="13">
        <v>194.745</v>
      </c>
    </row>
    <row r="1811" spans="1:4" s="1" customFormat="1" ht="19.75" customHeight="1" x14ac:dyDescent="0.25">
      <c r="A1811" s="9">
        <f>2005</f>
        <v>2005</v>
      </c>
      <c r="B1811" s="4" t="s">
        <v>56</v>
      </c>
      <c r="C1811" s="2">
        <v>113.69540000000001</v>
      </c>
      <c r="D1811" s="14">
        <v>69.989199999999997</v>
      </c>
    </row>
    <row r="1812" spans="1:4" s="1" customFormat="1" ht="19.75" customHeight="1" x14ac:dyDescent="0.25">
      <c r="A1812" s="9">
        <f>2005</f>
        <v>2005</v>
      </c>
      <c r="B1812" s="4" t="s">
        <v>55</v>
      </c>
      <c r="C1812" s="5">
        <v>168.21</v>
      </c>
      <c r="D1812" s="13">
        <v>219.18</v>
      </c>
    </row>
    <row r="1813" spans="1:4" s="1" customFormat="1" ht="19.75" customHeight="1" x14ac:dyDescent="0.25">
      <c r="A1813" s="9">
        <f>2005</f>
        <v>2005</v>
      </c>
      <c r="B1813" s="4" t="s">
        <v>54</v>
      </c>
      <c r="C1813" s="2">
        <v>179.8366</v>
      </c>
      <c r="D1813" s="14">
        <v>62.6008</v>
      </c>
    </row>
    <row r="1814" spans="1:4" s="1" customFormat="1" ht="19.75" customHeight="1" x14ac:dyDescent="0.25">
      <c r="A1814" s="9">
        <f>2005</f>
        <v>2005</v>
      </c>
      <c r="B1814" s="4" t="s">
        <v>53</v>
      </c>
      <c r="C1814" s="5">
        <v>222.00239999999999</v>
      </c>
      <c r="D1814" s="13">
        <v>113.88460000000001</v>
      </c>
    </row>
    <row r="1815" spans="1:4" s="1" customFormat="1" ht="19.75" customHeight="1" x14ac:dyDescent="0.25">
      <c r="A1815" s="9">
        <f>2005</f>
        <v>2005</v>
      </c>
      <c r="B1815" s="4" t="s">
        <v>52</v>
      </c>
      <c r="C1815" s="2">
        <v>233.52070000000001</v>
      </c>
      <c r="D1815" s="14">
        <v>165.1105</v>
      </c>
    </row>
    <row r="1816" spans="1:4" s="1" customFormat="1" ht="19.75" customHeight="1" x14ac:dyDescent="0.25">
      <c r="A1816" s="9">
        <f>2005</f>
        <v>2005</v>
      </c>
      <c r="B1816" s="4" t="s">
        <v>51</v>
      </c>
      <c r="C1816" s="5">
        <v>119.0646</v>
      </c>
      <c r="D1816" s="13">
        <v>69.365499999999997</v>
      </c>
    </row>
    <row r="1817" spans="1:4" s="1" customFormat="1" ht="19.75" customHeight="1" x14ac:dyDescent="0.25">
      <c r="A1817" s="9">
        <f>2005</f>
        <v>2005</v>
      </c>
      <c r="B1817" s="4" t="s">
        <v>50</v>
      </c>
      <c r="C1817" s="2">
        <v>688.75139999999999</v>
      </c>
      <c r="D1817" s="14">
        <v>313.86239999999998</v>
      </c>
    </row>
    <row r="1818" spans="1:4" s="1" customFormat="1" ht="19.75" customHeight="1" x14ac:dyDescent="0.25">
      <c r="A1818" s="9">
        <f>2005</f>
        <v>2005</v>
      </c>
      <c r="B1818" s="4" t="s">
        <v>49</v>
      </c>
      <c r="C1818" s="5">
        <v>14.950900000000001</v>
      </c>
      <c r="D1818" s="13">
        <v>5.2026000000000003</v>
      </c>
    </row>
    <row r="1819" spans="1:4" s="1" customFormat="1" ht="19.75" customHeight="1" x14ac:dyDescent="0.25">
      <c r="A1819" s="9">
        <f>2005</f>
        <v>2005</v>
      </c>
      <c r="B1819" s="4" t="s">
        <v>48</v>
      </c>
      <c r="C1819" s="2">
        <v>1315.56</v>
      </c>
      <c r="D1819" s="14">
        <v>1085.4000000000001</v>
      </c>
    </row>
    <row r="1820" spans="1:4" s="1" customFormat="1" ht="19.75" customHeight="1" x14ac:dyDescent="0.25">
      <c r="A1820" s="9">
        <f>2005</f>
        <v>2005</v>
      </c>
      <c r="B1820" s="4" t="s">
        <v>47</v>
      </c>
      <c r="C1820" s="5">
        <v>6570.8876</v>
      </c>
      <c r="D1820" s="13">
        <v>3299.1475</v>
      </c>
    </row>
    <row r="1821" spans="1:4" s="1" customFormat="1" ht="19.75" customHeight="1" x14ac:dyDescent="0.25">
      <c r="A1821" s="9">
        <f>2005</f>
        <v>2005</v>
      </c>
      <c r="B1821" s="4" t="s">
        <v>46</v>
      </c>
      <c r="C1821" s="2">
        <v>718.89329999999995</v>
      </c>
      <c r="D1821" s="14">
        <v>265.01900000000001</v>
      </c>
    </row>
    <row r="1822" spans="1:4" s="1" customFormat="1" ht="19.75" customHeight="1" x14ac:dyDescent="0.25">
      <c r="A1822" s="9">
        <f>2005</f>
        <v>2005</v>
      </c>
      <c r="B1822" s="4" t="s">
        <v>45</v>
      </c>
      <c r="C1822" s="5">
        <v>633.8184</v>
      </c>
      <c r="D1822" s="13">
        <v>380.10079999999999</v>
      </c>
    </row>
    <row r="1823" spans="1:4" s="1" customFormat="1" ht="19.75" customHeight="1" x14ac:dyDescent="0.25">
      <c r="A1823" s="9">
        <f>2005</f>
        <v>2005</v>
      </c>
      <c r="B1823" s="4" t="s">
        <v>44</v>
      </c>
      <c r="C1823" s="2">
        <v>952.99459999999999</v>
      </c>
      <c r="D1823" s="14">
        <v>322.7971</v>
      </c>
    </row>
    <row r="1824" spans="1:4" s="1" customFormat="1" ht="19.75" customHeight="1" x14ac:dyDescent="0.25">
      <c r="A1824" s="9">
        <f>2005</f>
        <v>2005</v>
      </c>
      <c r="B1824" s="4" t="s">
        <v>43</v>
      </c>
      <c r="C1824" s="5">
        <v>523.04349999999999</v>
      </c>
      <c r="D1824" s="13">
        <v>197.33009999999999</v>
      </c>
    </row>
    <row r="1825" spans="1:4" s="1" customFormat="1" ht="19.75" customHeight="1" x14ac:dyDescent="0.25">
      <c r="A1825" s="9">
        <f>2005</f>
        <v>2005</v>
      </c>
      <c r="B1825" s="4" t="s">
        <v>42</v>
      </c>
      <c r="C1825" s="2">
        <v>334.07319999999999</v>
      </c>
      <c r="D1825" s="14">
        <v>170.6148</v>
      </c>
    </row>
    <row r="1826" spans="1:4" s="1" customFormat="1" ht="19.75" customHeight="1" x14ac:dyDescent="0.25">
      <c r="A1826" s="9">
        <f>2005</f>
        <v>2005</v>
      </c>
      <c r="B1826" s="4" t="s">
        <v>41</v>
      </c>
      <c r="C1826" s="5">
        <v>194.8227</v>
      </c>
      <c r="D1826" s="13">
        <v>224.4999</v>
      </c>
    </row>
    <row r="1827" spans="1:4" s="1" customFormat="1" ht="19.75" customHeight="1" x14ac:dyDescent="0.25">
      <c r="A1827" s="9">
        <f>2005</f>
        <v>2005</v>
      </c>
      <c r="B1827" s="4" t="s">
        <v>40</v>
      </c>
      <c r="C1827" s="2">
        <v>191.53569999999999</v>
      </c>
      <c r="D1827" s="14">
        <v>90.278800000000004</v>
      </c>
    </row>
    <row r="1828" spans="1:4" s="1" customFormat="1" ht="19.75" customHeight="1" x14ac:dyDescent="0.25">
      <c r="A1828" s="9">
        <f>2005</f>
        <v>2005</v>
      </c>
      <c r="B1828" s="4" t="s">
        <v>39</v>
      </c>
      <c r="C1828" s="5">
        <v>138.34719999999999</v>
      </c>
      <c r="D1828" s="13">
        <v>58.919499999999999</v>
      </c>
    </row>
    <row r="1829" spans="1:4" s="1" customFormat="1" ht="19.75" customHeight="1" x14ac:dyDescent="0.25">
      <c r="A1829" s="9">
        <f>2005</f>
        <v>2005</v>
      </c>
      <c r="B1829" s="4" t="s">
        <v>38</v>
      </c>
      <c r="C1829" s="2">
        <v>36.484099999999998</v>
      </c>
      <c r="D1829" s="14">
        <v>25.3749</v>
      </c>
    </row>
    <row r="1830" spans="1:4" s="1" customFormat="1" ht="19.75" customHeight="1" x14ac:dyDescent="0.25">
      <c r="A1830" s="9">
        <f>2005</f>
        <v>2005</v>
      </c>
      <c r="B1830" s="4" t="s">
        <v>37</v>
      </c>
      <c r="C1830" s="5">
        <v>38.747799999999998</v>
      </c>
      <c r="D1830" s="13">
        <v>22.2575</v>
      </c>
    </row>
    <row r="1831" spans="1:4" s="1" customFormat="1" ht="19.75" customHeight="1" x14ac:dyDescent="0.25">
      <c r="A1831" s="9">
        <f>2005</f>
        <v>2005</v>
      </c>
      <c r="B1831" s="4" t="s">
        <v>36</v>
      </c>
      <c r="C1831" s="2">
        <v>86.335899999999995</v>
      </c>
      <c r="D1831" s="14">
        <v>53.520400000000002</v>
      </c>
    </row>
    <row r="1832" spans="1:4" s="1" customFormat="1" ht="19.75" customHeight="1" x14ac:dyDescent="0.25">
      <c r="A1832" s="9">
        <f>2005</f>
        <v>2005</v>
      </c>
      <c r="B1832" s="4" t="s">
        <v>35</v>
      </c>
      <c r="C1832" s="5">
        <v>16.527699999999999</v>
      </c>
      <c r="D1832" s="13">
        <v>7.6612999999999998</v>
      </c>
    </row>
    <row r="1833" spans="1:4" s="1" customFormat="1" ht="19.75" customHeight="1" x14ac:dyDescent="0.25">
      <c r="A1833" s="9">
        <f>2005</f>
        <v>2005</v>
      </c>
      <c r="B1833" s="4" t="s">
        <v>34</v>
      </c>
      <c r="C1833" s="2">
        <v>452.07150000000001</v>
      </c>
      <c r="D1833" s="14">
        <v>187.0754</v>
      </c>
    </row>
    <row r="1834" spans="1:4" s="1" customFormat="1" ht="19.75" customHeight="1" x14ac:dyDescent="0.25">
      <c r="A1834" s="9">
        <f>2005</f>
        <v>2005</v>
      </c>
      <c r="B1834" s="4" t="s">
        <v>33</v>
      </c>
      <c r="C1834" s="5">
        <v>281.56610000000001</v>
      </c>
      <c r="D1834" s="13">
        <v>124.8822</v>
      </c>
    </row>
    <row r="1835" spans="1:4" s="1" customFormat="1" ht="19.75" customHeight="1" x14ac:dyDescent="0.25">
      <c r="A1835" s="9">
        <f>2005</f>
        <v>2005</v>
      </c>
      <c r="B1835" s="4" t="s">
        <v>32</v>
      </c>
      <c r="C1835" s="2">
        <v>340.08909999999997</v>
      </c>
      <c r="D1835" s="14">
        <v>140.2115</v>
      </c>
    </row>
    <row r="1836" spans="1:4" s="1" customFormat="1" ht="19.75" customHeight="1" x14ac:dyDescent="0.25">
      <c r="A1836" s="9">
        <f>2005</f>
        <v>2005</v>
      </c>
      <c r="B1836" s="4" t="s">
        <v>31</v>
      </c>
      <c r="C1836" s="5">
        <v>11.8489</v>
      </c>
      <c r="D1836" s="13">
        <v>39.942700000000002</v>
      </c>
    </row>
    <row r="1837" spans="1:4" s="1" customFormat="1" ht="19.75" customHeight="1" x14ac:dyDescent="0.25">
      <c r="A1837" s="9">
        <f>2005</f>
        <v>2005</v>
      </c>
      <c r="B1837" s="4" t="s">
        <v>30</v>
      </c>
      <c r="C1837" s="2">
        <v>0.34539999999999998</v>
      </c>
      <c r="D1837" s="14">
        <v>2.0653000000000001</v>
      </c>
    </row>
    <row r="1838" spans="1:4" s="1" customFormat="1" ht="19.75" customHeight="1" x14ac:dyDescent="0.25">
      <c r="A1838" s="9">
        <f>2005</f>
        <v>2005</v>
      </c>
      <c r="B1838" s="4" t="s">
        <v>29</v>
      </c>
      <c r="C1838" s="5">
        <v>137.9034</v>
      </c>
      <c r="D1838" s="13">
        <v>47.3568</v>
      </c>
    </row>
    <row r="1839" spans="1:4" s="1" customFormat="1" ht="19.75" customHeight="1" x14ac:dyDescent="0.25">
      <c r="A1839" s="9">
        <f>2005</f>
        <v>2005</v>
      </c>
      <c r="B1839" s="4" t="s">
        <v>28</v>
      </c>
      <c r="C1839" s="2">
        <v>151.17670000000001</v>
      </c>
      <c r="D1839" s="14">
        <v>291.95650000000001</v>
      </c>
    </row>
    <row r="1840" spans="1:4" s="1" customFormat="1" ht="19.75" customHeight="1" x14ac:dyDescent="0.25">
      <c r="A1840" s="9">
        <f>2005</f>
        <v>2005</v>
      </c>
      <c r="B1840" s="4" t="s">
        <v>27</v>
      </c>
      <c r="C1840" s="5">
        <v>127.5681</v>
      </c>
      <c r="D1840" s="13">
        <v>90.980900000000005</v>
      </c>
    </row>
    <row r="1841" spans="1:4" s="1" customFormat="1" ht="19.75" customHeight="1" x14ac:dyDescent="0.25">
      <c r="A1841" s="9">
        <f>2005</f>
        <v>2005</v>
      </c>
      <c r="B1841" s="4" t="s">
        <v>26</v>
      </c>
      <c r="C1841" s="2">
        <v>21.781199999999998</v>
      </c>
      <c r="D1841" s="14">
        <v>13.184900000000001</v>
      </c>
    </row>
    <row r="1842" spans="1:4" s="1" customFormat="1" ht="19.75" customHeight="1" x14ac:dyDescent="0.25">
      <c r="A1842" s="9">
        <f>2005</f>
        <v>2005</v>
      </c>
      <c r="B1842" s="4" t="s">
        <v>25</v>
      </c>
      <c r="C1842" s="5">
        <v>5.3101000000000003</v>
      </c>
      <c r="D1842" s="13">
        <v>2.4091</v>
      </c>
    </row>
    <row r="1843" spans="1:4" s="1" customFormat="1" ht="19.75" customHeight="1" x14ac:dyDescent="0.25">
      <c r="A1843" s="9">
        <f>2005</f>
        <v>2005</v>
      </c>
      <c r="B1843" s="4" t="s">
        <v>24</v>
      </c>
      <c r="C1843" s="2">
        <v>107.53530000000001</v>
      </c>
      <c r="D1843" s="14">
        <v>34.630200000000002</v>
      </c>
    </row>
    <row r="1844" spans="1:4" s="1" customFormat="1" ht="19.75" customHeight="1" x14ac:dyDescent="0.25">
      <c r="A1844" s="9">
        <f>2005</f>
        <v>2005</v>
      </c>
      <c r="B1844" s="4" t="s">
        <v>23</v>
      </c>
      <c r="C1844" s="5">
        <v>8.5716999999999999</v>
      </c>
      <c r="D1844" s="13">
        <v>31.376200000000001</v>
      </c>
    </row>
    <row r="1845" spans="1:4" s="1" customFormat="1" ht="19.75" customHeight="1" x14ac:dyDescent="0.25">
      <c r="A1845" s="9">
        <f>2005</f>
        <v>2005</v>
      </c>
      <c r="B1845" s="4" t="s">
        <v>22</v>
      </c>
      <c r="C1845" s="2">
        <v>90.626099999999994</v>
      </c>
      <c r="D1845" s="14">
        <v>96.668199999999999</v>
      </c>
    </row>
    <row r="1846" spans="1:4" s="1" customFormat="1" ht="19.75" customHeight="1" x14ac:dyDescent="0.25">
      <c r="A1846" s="9">
        <f>2005</f>
        <v>2005</v>
      </c>
      <c r="B1846" s="4" t="s">
        <v>21</v>
      </c>
      <c r="C1846" s="5">
        <v>752.09540000000004</v>
      </c>
      <c r="D1846" s="13">
        <v>1222.8849</v>
      </c>
    </row>
    <row r="1847" spans="1:4" s="1" customFormat="1" ht="19.75" customHeight="1" x14ac:dyDescent="0.25">
      <c r="A1847" s="9">
        <f>2005</f>
        <v>2005</v>
      </c>
      <c r="B1847" s="4" t="s">
        <v>20</v>
      </c>
      <c r="C1847" s="2">
        <v>97.921099999999996</v>
      </c>
      <c r="D1847" s="14">
        <v>52.998899999999999</v>
      </c>
    </row>
    <row r="1848" spans="1:4" s="1" customFormat="1" ht="19.75" customHeight="1" x14ac:dyDescent="0.25">
      <c r="A1848" s="9">
        <f>2005</f>
        <v>2005</v>
      </c>
      <c r="B1848" s="4" t="s">
        <v>19</v>
      </c>
      <c r="C1848" s="5">
        <v>3.3092999999999999</v>
      </c>
      <c r="D1848" s="13">
        <v>4.5045999999999999</v>
      </c>
    </row>
    <row r="1849" spans="1:4" s="1" customFormat="1" ht="19.75" customHeight="1" x14ac:dyDescent="0.25">
      <c r="A1849" s="9">
        <f>2005</f>
        <v>2005</v>
      </c>
      <c r="B1849" s="4" t="s">
        <v>18</v>
      </c>
      <c r="C1849" s="2">
        <v>8.5145999999999997</v>
      </c>
      <c r="D1849" s="14">
        <v>18.464200000000002</v>
      </c>
    </row>
    <row r="1850" spans="1:4" s="1" customFormat="1" ht="19.75" customHeight="1" x14ac:dyDescent="0.25">
      <c r="A1850" s="9">
        <f>2005</f>
        <v>2005</v>
      </c>
      <c r="B1850" s="4" t="s">
        <v>17</v>
      </c>
      <c r="C1850" s="5">
        <v>304.70749999999998</v>
      </c>
      <c r="D1850" s="13">
        <v>274.72469999999998</v>
      </c>
    </row>
    <row r="1851" spans="1:4" s="1" customFormat="1" ht="19.75" customHeight="1" x14ac:dyDescent="0.25">
      <c r="A1851" s="9">
        <f>2005</f>
        <v>2005</v>
      </c>
      <c r="B1851" s="4" t="s">
        <v>16</v>
      </c>
      <c r="C1851" s="2">
        <v>644.44050000000004</v>
      </c>
      <c r="D1851" s="14">
        <v>698.47889999999995</v>
      </c>
    </row>
    <row r="1852" spans="1:4" s="1" customFormat="1" ht="19.75" customHeight="1" x14ac:dyDescent="0.25">
      <c r="A1852" s="9">
        <f>2005</f>
        <v>2005</v>
      </c>
      <c r="B1852" s="4" t="s">
        <v>15</v>
      </c>
      <c r="C1852" s="5">
        <v>14.846</v>
      </c>
      <c r="D1852" s="13">
        <v>5.1933999999999996</v>
      </c>
    </row>
    <row r="1853" spans="1:4" s="1" customFormat="1" ht="19.75" customHeight="1" x14ac:dyDescent="0.25">
      <c r="A1853" s="9">
        <f>2005</f>
        <v>2005</v>
      </c>
      <c r="B1853" s="4" t="s">
        <v>14</v>
      </c>
      <c r="C1853" s="3"/>
      <c r="D1853" s="14">
        <v>0.52859999999999996</v>
      </c>
    </row>
    <row r="1854" spans="1:4" s="1" customFormat="1" ht="19.75" customHeight="1" x14ac:dyDescent="0.25">
      <c r="A1854" s="9">
        <f>2005</f>
        <v>2005</v>
      </c>
      <c r="B1854" s="4" t="s">
        <v>13</v>
      </c>
      <c r="C1854" s="5">
        <v>16.2559</v>
      </c>
      <c r="D1854" s="13">
        <v>26.951899999999998</v>
      </c>
    </row>
    <row r="1855" spans="1:4" s="1" customFormat="1" ht="19.75" customHeight="1" x14ac:dyDescent="0.25">
      <c r="A1855" s="9">
        <f>2005</f>
        <v>2005</v>
      </c>
      <c r="B1855" s="4" t="s">
        <v>12</v>
      </c>
      <c r="C1855" s="2">
        <v>9.8949999999999996</v>
      </c>
      <c r="D1855" s="14">
        <v>7.617</v>
      </c>
    </row>
    <row r="1856" spans="1:4" s="1" customFormat="1" ht="19.75" customHeight="1" x14ac:dyDescent="0.25">
      <c r="A1856" s="9">
        <f>2005</f>
        <v>2005</v>
      </c>
      <c r="B1856" s="4" t="s">
        <v>11</v>
      </c>
      <c r="C1856" s="5">
        <v>0.56969999999999998</v>
      </c>
      <c r="D1856" s="13">
        <v>2.4207999999999998</v>
      </c>
    </row>
    <row r="1857" spans="1:4" s="1" customFormat="1" ht="19.75" customHeight="1" x14ac:dyDescent="0.25">
      <c r="A1857" s="9">
        <f>2005</f>
        <v>2005</v>
      </c>
      <c r="B1857" s="4" t="s">
        <v>10</v>
      </c>
      <c r="C1857" s="2">
        <v>24.598800000000001</v>
      </c>
      <c r="D1857" s="14">
        <v>3.6629</v>
      </c>
    </row>
    <row r="1858" spans="1:4" s="1" customFormat="1" ht="19.75" customHeight="1" x14ac:dyDescent="0.25">
      <c r="A1858" s="9">
        <f>2005</f>
        <v>2005</v>
      </c>
      <c r="B1858" s="4" t="s">
        <v>9</v>
      </c>
      <c r="C1858" s="5">
        <v>5.8178999999999998</v>
      </c>
      <c r="D1858" s="13">
        <v>8.1473999999999993</v>
      </c>
    </row>
    <row r="1859" spans="1:4" s="1" customFormat="1" ht="19.75" customHeight="1" x14ac:dyDescent="0.25">
      <c r="A1859" s="9">
        <f>2005</f>
        <v>2005</v>
      </c>
      <c r="B1859" s="4" t="s">
        <v>8</v>
      </c>
      <c r="C1859" s="2">
        <v>15.833399999999999</v>
      </c>
      <c r="D1859" s="14">
        <v>33.838500000000003</v>
      </c>
    </row>
    <row r="1860" spans="1:4" s="1" customFormat="1" ht="19.75" customHeight="1" x14ac:dyDescent="0.25">
      <c r="A1860" s="9">
        <f>2005</f>
        <v>2005</v>
      </c>
      <c r="B1860" s="4" t="s">
        <v>7</v>
      </c>
      <c r="C1860" s="5">
        <v>0.68410000000000004</v>
      </c>
      <c r="D1860" s="13">
        <v>2.8106</v>
      </c>
    </row>
    <row r="1861" spans="1:4" s="1" customFormat="1" ht="19.75" customHeight="1" x14ac:dyDescent="0.25">
      <c r="A1861" s="9">
        <f>2005</f>
        <v>2005</v>
      </c>
      <c r="B1861" s="4" t="s">
        <v>6</v>
      </c>
      <c r="C1861" s="2">
        <v>22.639700000000001</v>
      </c>
      <c r="D1861" s="14">
        <v>4.6031000000000004</v>
      </c>
    </row>
    <row r="1862" spans="1:4" s="1" customFormat="1" ht="19.75" customHeight="1" x14ac:dyDescent="0.25">
      <c r="A1862" s="9">
        <f>2005</f>
        <v>2005</v>
      </c>
      <c r="B1862" s="4" t="s">
        <v>5</v>
      </c>
      <c r="C1862" s="5">
        <v>2.8837999999999999</v>
      </c>
      <c r="D1862" s="13">
        <v>4.4112</v>
      </c>
    </row>
    <row r="1863" spans="1:4" s="1" customFormat="1" ht="19.75" customHeight="1" x14ac:dyDescent="0.25">
      <c r="A1863" s="9">
        <f>2005</f>
        <v>2005</v>
      </c>
      <c r="B1863" s="4" t="s">
        <v>4</v>
      </c>
      <c r="C1863" s="2">
        <v>21.565899999999999</v>
      </c>
      <c r="D1863" s="14">
        <v>16.5764</v>
      </c>
    </row>
    <row r="1864" spans="1:4" s="1" customFormat="1" ht="19.75" customHeight="1" x14ac:dyDescent="0.25">
      <c r="A1864" s="9">
        <f>2005</f>
        <v>2005</v>
      </c>
      <c r="B1864" s="4" t="s">
        <v>3</v>
      </c>
      <c r="C1864" s="5">
        <v>0.80630000000000002</v>
      </c>
      <c r="D1864" s="13">
        <v>3.0076000000000001</v>
      </c>
    </row>
    <row r="1865" spans="1:4" s="1" customFormat="1" ht="19.75" customHeight="1" x14ac:dyDescent="0.25">
      <c r="A1865" s="9">
        <f>2005</f>
        <v>2005</v>
      </c>
      <c r="B1865" s="4" t="s">
        <v>2</v>
      </c>
      <c r="C1865" s="2">
        <v>1107.4476999999999</v>
      </c>
      <c r="D1865" s="14">
        <v>842.17759999999998</v>
      </c>
    </row>
    <row r="1866" spans="1:4" s="1" customFormat="1" ht="19.75" customHeight="1" x14ac:dyDescent="0.25">
      <c r="A1866" s="9">
        <f>2005</f>
        <v>2005</v>
      </c>
      <c r="B1866" s="4" t="s">
        <v>1</v>
      </c>
      <c r="C1866" s="5">
        <v>333.8066</v>
      </c>
      <c r="D1866" s="13">
        <v>566.83770000000004</v>
      </c>
    </row>
    <row r="1867" spans="1:4" s="1" customFormat="1" ht="19.75" customHeight="1" x14ac:dyDescent="0.25">
      <c r="A1867" s="11">
        <f>2005</f>
        <v>2005</v>
      </c>
      <c r="B1867" s="4" t="s">
        <v>0</v>
      </c>
      <c r="C1867" s="2">
        <v>1.9893000000000001</v>
      </c>
      <c r="D1867" s="14">
        <v>5.9425999999999997</v>
      </c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singh</dc:creator>
  <cp:lastModifiedBy>uday singh</cp:lastModifiedBy>
  <dcterms:created xsi:type="dcterms:W3CDTF">2026-02-08T05:08:44Z</dcterms:created>
  <dcterms:modified xsi:type="dcterms:W3CDTF">2026-02-21T18:57:40Z</dcterms:modified>
</cp:coreProperties>
</file>